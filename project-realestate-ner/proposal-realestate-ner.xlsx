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MO kế hoạch kì 5-20260915T034926Z-1-001\DEMO kế hoạch kì 5\TMG301\project-realestate-ner\"/>
    </mc:Choice>
  </mc:AlternateContent>
  <xr:revisionPtr revIDLastSave="0" documentId="13_ncr:1_{B6395DFE-6FFC-46E9-9DED-1F509FF22E2A}" xr6:coauthVersionLast="47" xr6:coauthVersionMax="47" xr10:uidLastSave="{00000000-0000-0000-0000-000000000000}"/>
  <bookViews>
    <workbookView xWindow="-108" yWindow="-108" windowWidth="23256" windowHeight="13176" xr2:uid="{00000000-000D-0000-FFFF-FFFF00000000}"/>
  </bookViews>
  <sheets>
    <sheet name="00_TongQuan" sheetId="1" r:id="rId1"/>
    <sheet name="01_HieuDe" sheetId="2" r:id="rId2"/>
    <sheet name="02_Schema" sheetId="3" r:id="rId3"/>
    <sheet name="03_DoKho" sheetId="4" r:id="rId4"/>
    <sheet name="04_KienTruc" sheetId="5" r:id="rId5"/>
    <sheet name="05_GiaoDien" sheetId="6" r:id="rId6"/>
    <sheet name="06_DanhGia" sheetId="7" r:id="rId7"/>
    <sheet name="07_KienThuc" sheetId="8" r:id="rId8"/>
    <sheet name="08_KeHoach" sheetId="9" r:id="rId9"/>
    <sheet name="09_PhanCong" sheetId="10" r:id="rId10"/>
    <sheet name="10_RuiRo" sheetId="11" r:id="rId11"/>
    <sheet name="11_NguonTK" sheetId="12" r:id="rId12"/>
    <sheet name="12_ThuatNgu" sheetId="13" r:id="rId13"/>
  </sheets>
  <definedNames>
    <definedName name="_xlnm._FilterDatabase" localSheetId="2" hidden="1">'02_Schema'!$A$4:$I$24</definedName>
    <definedName name="_xlnm._FilterDatabase" localSheetId="3" hidden="1">'03_DoKho'!$A$4:$I$29</definedName>
    <definedName name="_xlnm._FilterDatabase" localSheetId="4" hidden="1">'04_KienTruc'!$A$4:$G$15</definedName>
    <definedName name="_xlnm._FilterDatabase" localSheetId="5" hidden="1">'05_GiaoDien'!$A$4:$H$11</definedName>
    <definedName name="_xlnm._FilterDatabase" localSheetId="7" hidden="1">'07_KienThuc'!$A$4:$F$14</definedName>
    <definedName name="_xlnm._FilterDatabase" localSheetId="8" hidden="1">'08_KeHoach'!$A$5:$L$30</definedName>
    <definedName name="_xlnm._FilterDatabase" localSheetId="10" hidden="1">'10_RuiRo'!$A$4:$H$13</definedName>
    <definedName name="_xlnm._FilterDatabase" localSheetId="11" hidden="1">'11_NguonTK'!$A$4:$J$42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2" l="1"/>
  <c r="B50" i="12"/>
  <c r="B49" i="12"/>
  <c r="B48" i="12"/>
  <c r="B47" i="12"/>
  <c r="E13" i="11"/>
  <c r="F13" i="11" s="1"/>
  <c r="E12" i="11"/>
  <c r="F12" i="11" s="1"/>
  <c r="E11" i="11"/>
  <c r="F11" i="11" s="1"/>
  <c r="E10" i="11"/>
  <c r="F10" i="11" s="1"/>
  <c r="E9" i="11"/>
  <c r="F9" i="11" s="1"/>
  <c r="E8" i="11"/>
  <c r="F8" i="11" s="1"/>
  <c r="E7" i="11"/>
  <c r="F7" i="11" s="1"/>
  <c r="E6" i="11"/>
  <c r="F6" i="11" s="1"/>
  <c r="E5" i="11"/>
  <c r="F5" i="11" s="1"/>
  <c r="G8" i="10"/>
  <c r="G7" i="10"/>
  <c r="G6" i="10"/>
  <c r="G5" i="10"/>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H9" i="9"/>
  <c r="G9" i="9"/>
  <c r="H8" i="9"/>
  <c r="G8" i="9"/>
  <c r="H7" i="9"/>
  <c r="G7" i="9"/>
  <c r="H6" i="9"/>
  <c r="G6" i="9"/>
  <c r="F3" i="9"/>
  <c r="J32" i="7"/>
  <c r="K32" i="7" s="1"/>
  <c r="I32" i="7"/>
  <c r="E32" i="7"/>
  <c r="D32" i="7"/>
  <c r="C32" i="7"/>
  <c r="J31" i="7"/>
  <c r="K31" i="7" s="1"/>
  <c r="I31" i="7"/>
  <c r="E31" i="7"/>
  <c r="G31" i="7" s="1"/>
  <c r="D31" i="7"/>
  <c r="C31" i="7"/>
  <c r="J30" i="7"/>
  <c r="K30" i="7" s="1"/>
  <c r="I30" i="7"/>
  <c r="E30" i="7"/>
  <c r="G30" i="7" s="1"/>
  <c r="D30" i="7"/>
  <c r="F30" i="7" s="1"/>
  <c r="C30" i="7"/>
  <c r="K27" i="7"/>
  <c r="G27" i="7"/>
  <c r="F27" i="7"/>
  <c r="H27" i="7" s="1"/>
  <c r="K26" i="7"/>
  <c r="G26" i="7"/>
  <c r="F26" i="7"/>
  <c r="H26" i="7" s="1"/>
  <c r="K25" i="7"/>
  <c r="G25" i="7"/>
  <c r="F25" i="7"/>
  <c r="K24" i="7"/>
  <c r="G24" i="7"/>
  <c r="F24" i="7"/>
  <c r="K23" i="7"/>
  <c r="G23" i="7"/>
  <c r="F23" i="7"/>
  <c r="H23" i="7" s="1"/>
  <c r="K22" i="7"/>
  <c r="G22" i="7"/>
  <c r="F22" i="7"/>
  <c r="K21" i="7"/>
  <c r="G21" i="7"/>
  <c r="F21" i="7"/>
  <c r="H21" i="7" s="1"/>
  <c r="K20" i="7"/>
  <c r="G20" i="7"/>
  <c r="F20" i="7"/>
  <c r="H20" i="7" s="1"/>
  <c r="K19" i="7"/>
  <c r="G19" i="7"/>
  <c r="H19" i="7" s="1"/>
  <c r="F19" i="7"/>
  <c r="K18" i="7"/>
  <c r="G18" i="7"/>
  <c r="F18" i="7"/>
  <c r="H18" i="7" s="1"/>
  <c r="K17" i="7"/>
  <c r="H17" i="7"/>
  <c r="G17" i="7"/>
  <c r="F17" i="7"/>
  <c r="K16" i="7"/>
  <c r="G16" i="7"/>
  <c r="F16" i="7"/>
  <c r="K15" i="7"/>
  <c r="G15" i="7"/>
  <c r="F15" i="7"/>
  <c r="H15" i="7" s="1"/>
  <c r="C37" i="4"/>
  <c r="D37" i="4" s="1"/>
  <c r="B37" i="4"/>
  <c r="C36" i="4"/>
  <c r="B36" i="4"/>
  <c r="D36" i="4" s="1"/>
  <c r="C35" i="4"/>
  <c r="B35" i="4"/>
  <c r="C34" i="4"/>
  <c r="B34" i="4"/>
  <c r="D34" i="4" s="1"/>
  <c r="C33" i="4"/>
  <c r="B33" i="4"/>
  <c r="F31" i="7" l="1"/>
  <c r="H31" i="7" s="1"/>
  <c r="H25" i="7"/>
  <c r="H22" i="7"/>
  <c r="G32" i="7"/>
  <c r="H30" i="7"/>
  <c r="D33" i="4"/>
  <c r="H16" i="7"/>
  <c r="D35" i="4"/>
  <c r="H24" i="7"/>
  <c r="F32" i="7"/>
  <c r="H3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3" authorId="0" shapeId="0" xr:uid="{00000000-0006-0000-0800-000001000000}">
      <text>
        <r>
          <rPr>
            <sz val="11"/>
            <color theme="1"/>
            <rFont val="Calibri"/>
            <family val="2"/>
            <scheme val="minor"/>
          </rPr>
          <t>Giả định: thứ Hai 05/10/2026. Nhóm sửa theo lịch thật.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5" authorId="0" shapeId="0" xr:uid="{00000000-0006-0000-0900-000001000000}">
      <text>
        <r>
          <rPr>
            <sz val="11"/>
            <color theme="1"/>
            <rFont val="Calibri"/>
            <family val="2"/>
            <scheme val="minor"/>
          </rPr>
          <t>Vai trò: NLP Lead — Regex &amp; chuẩn hoá</t>
        </r>
      </text>
    </comment>
    <comment ref="B6" authorId="0" shapeId="0" xr:uid="{00000000-0006-0000-0900-000002000000}">
      <text>
        <r>
          <rPr>
            <sz val="11"/>
            <color theme="1"/>
            <rFont val="Calibri"/>
            <family val="2"/>
            <scheme val="minor"/>
          </rPr>
          <t>Vai trò: LLM &amp; Backend Lead</t>
        </r>
      </text>
    </comment>
    <comment ref="B7" authorId="0" shapeId="0" xr:uid="{00000000-0006-0000-0900-000003000000}">
      <text>
        <r>
          <rPr>
            <sz val="11"/>
            <color theme="1"/>
            <rFont val="Calibri"/>
            <family val="2"/>
            <scheme val="minor"/>
          </rPr>
          <t>Vai trò: Frontend / UI Lead</t>
        </r>
      </text>
    </comment>
    <comment ref="B8" authorId="0" shapeId="0" xr:uid="{00000000-0006-0000-0900-000004000000}">
      <text>
        <r>
          <rPr>
            <sz val="11"/>
            <color theme="1"/>
            <rFont val="Calibri"/>
            <family val="2"/>
            <scheme val="minor"/>
          </rPr>
          <t>Vai trò: Data &amp; Evaluation Lead</t>
        </r>
      </text>
    </comment>
  </commentList>
</comments>
</file>

<file path=xl/sharedStrings.xml><?xml version="1.0" encoding="utf-8"?>
<sst xmlns="http://schemas.openxmlformats.org/spreadsheetml/2006/main" count="1525" uniqueCount="1128">
  <si>
    <t>PROPOSAL — Đề tài 8: Trích xuất thông tin BĐS từ bài đăng MXH (Real Estate NER)</t>
  </si>
  <si>
    <t>TMG301 · Nhóm 4 người · Phiên bản 1.0 · 2026-10-03 · Chú giải: ô nền vàng nhạt + chữ xanh dương = nhóm tự điền; ô có công thức = chữ đen, không sửa.</t>
  </si>
  <si>
    <t>Mục</t>
  </si>
  <si>
    <t>Nội dung</t>
  </si>
  <si>
    <t>Tên đề tài đề xuất</t>
  </si>
  <si>
    <t>ReNER-VN Workbench — Trích xuất &amp; chuẩn hoá thông tin bất động sản từ bài đăng Facebook bằng Hybrid Regex–LLM có neo nguồn (source grounding)</t>
  </si>
  <si>
    <t>Bối cảnh</t>
  </si>
  <si>
    <t>Bài rao bán/thuê nhà trên Facebook Groups viết tự do: viết tắt (PN, WC, DT, TL, HXH), teencode, không dấu, emoji, nhiều tin trong một bài, giấu giá ('ib giá'). Người tìm nhà phải đọc thủ công từng bài. Các nghiên cứu NER BĐS tiếng Việt (2021–2022) đều dùng dữ liệu từ website rao vặt, chưa đánh giá trên MXH và chưa so sánh với LLM.</t>
  </si>
  <si>
    <t>Vấn đề</t>
  </si>
  <si>
    <t>Tự động chuyển bài đăng lộn xộn thành bản ghi chuẩn gồm 4 trường: Giá, Diện tích, Vị trí, Số phòng. Mỗi trường đều có nhập nhằng ngữ nghĩa: giá bán / giá thuê / tiền cọc / giá theo m²; DT đất / DT sàn; địa chỉ theo đơn vị hành chính cũ (63 tỉnh, có quận/huyện) hay mới (34 tỉnh, từ 01/07/2025).</t>
  </si>
  <si>
    <t>Mục tiêu O1</t>
  </si>
  <si>
    <t>Đặc tả schema chuẩn cho 4 trường + quy tắc chuẩn hoá (VND, m², số phòng, địa chỉ 63→34 tỉnh) + annotation guideline gán nhãn BIO.</t>
  </si>
  <si>
    <t>Mục tiêu O2</t>
  </si>
  <si>
    <t>Xây 3 hệ trích xuất để so sánh: (1) Regex + luật [baseline], (2) Prompt LLM (Gemini) có JSON schema + neo span, (3) Hybrid: Regex + LLM + Validator đối chiếu để ra độ tin cậy.</t>
  </si>
  <si>
    <t>Mục tiêu O3</t>
  </si>
  <si>
    <t>Xây gold set: 10 bài test 'phức tạp' (giữ riêng, chọn theo taxonomy độ khó) + 40–90 bài dev; đo P/R/F1 mức span, exact-match mức giá trị chuẩn hoá, null accuracy, chi phí/độ trễ.</t>
  </si>
  <si>
    <t>Mục tiêu O4</t>
  </si>
  <si>
    <t>Web app 'workbench' (Next.js + FastAPI) làm hiện rõ quá trình NLP: bôi màu span, hiện nhãn BIO, so sánh Regex/LLM/Gold, dashboard đánh giá, bảng dữ liệu chuẩn, xuất Excel.</t>
  </si>
  <si>
    <t>Mục tiêu O5</t>
  </si>
  <si>
    <t>Phân tích lỗi theo taxonomy + trình bày nền tảng lý thuyết sequence labeling (BIO, HMM, CRF) để bảo vệ vấn đáp.</t>
  </si>
  <si>
    <t>RQ1</t>
  </si>
  <si>
    <t>Trên từng trường, Regex, LLM và Hybrid khác nhau thế nào về P/R/F1 và exact-match? (giả thuyết: Regex mạnh ở trường số, LLM mạnh ở Vị trí — CẦN THỰC NGHIỆM, không phải kết luận)</t>
  </si>
  <si>
    <t>RQ2</t>
  </si>
  <si>
    <t>Neo span + validator có giảm được giá trị bịa (hallucination) của LLM không? Đo bằng null accuracy và tỉ lệ span không tìm thấy trong bài gốc.</t>
  </si>
  <si>
    <t>RQ3</t>
  </si>
  <si>
    <t>Hiện tượng ngôn ngữ nào (mục 03_DoKho) gây lỗi nhiều nhất cho từng hệ?</t>
  </si>
  <si>
    <t>Phạm vi TRONG</t>
  </si>
  <si>
    <t>4 trường + loại bài (bán/thuê/cần mua/cần thuê/spam) · tiếng Việt · bài công khai thu thủ công · Regex + Gemini · web app 6 màn hình · lý thuyết BIO/HMM/CRF (trình bày, không cài đặt HMM/CRF).</t>
  </si>
  <si>
    <t>Phạm vi NGOÀI</t>
  </si>
  <si>
    <t>Scrape tự động Facebook (vi phạm ToS Meta; Groups API đã gỡ 22/04/2024) · fine-tune PhoBERT (để future work) · ảnh trong bài · phát hiện tin giả · định giá BĐS.</t>
  </si>
  <si>
    <t>Sản phẩm bàn giao</t>
  </si>
  <si>
    <t>(1) Mã nguồn web app + API · (2) Gold set đã ẩn danh + guideline · (3) Báo cáo đánh giá + phân tích lỗi · (4) Slide + kịch bản demo + video dự phòng · (5) File Excel này (theo dõi tiến độ, kết quả).</t>
  </si>
  <si>
    <t>Tiêu chí thành công</t>
  </si>
  <si>
    <t>Báo cáo đủ P/R/F1 + exact-match cho 4 trường × 3 hệ trên 10 bài test KHÔNG dùng để tinh chỉnh · mọi giá trị hiển thị trên UI truy được về span gốc · demo chạy được cả khi mất mạng (kết quả cache) · không lộ SĐT/tên thật.</t>
  </si>
  <si>
    <t>Bước tiếp theo</t>
  </si>
  <si>
    <t>Tuần 1: chạy spike Gemini (kiểm tra free tier có structured output + hạn mức trong AI Studio) · chốt schema &amp; guideline · thu 60–100 bài · chốt hướng thiết kế UI (skill design-web).</t>
  </si>
  <si>
    <t>Quyết định phạm vi</t>
  </si>
  <si>
    <t>Quyết định đã chốt (hỏi đáp 2026-10-03)</t>
  </si>
  <si>
    <t>Lựa chọn</t>
  </si>
  <si>
    <t>Lý do</t>
  </si>
  <si>
    <t>Kiến trúc lõi</t>
  </si>
  <si>
    <t>C. Hybrid Regex + LLM + Validator</t>
  </si>
  <si>
    <t>Bám chương Regex, khắc phục điểm yếu Vị trí của regex, UI có nhiều thứ để thể hiện</t>
  </si>
  <si>
    <t>Hình thức sản phẩm</t>
  </si>
  <si>
    <t>Web app workbench</t>
  </si>
  <si>
    <t>Dễ demo trên máy chiếu; đủ chỗ cho 6 màn hình làm lộ NLP</t>
  </si>
  <si>
    <t>Dữ liệu</t>
  </si>
  <si>
    <t>10 bài test + 40–90 bài dev, thu thủ công, ẩn danh</t>
  </si>
  <si>
    <t>Tránh rò rỉ dữ liệu khi tinh chỉnh; tuân thủ Luật BVDLCN 91/2025</t>
  </si>
  <si>
    <t>LLM</t>
  </si>
  <si>
    <t>Gemini API (free tier)</t>
  </si>
  <si>
    <t>Miễn phí trong hạn mức; LangExtract hỗ trợ sẵn. Hạn mức/structured output trên free tier: PHẢI kiểm tra ngày 1</t>
  </si>
  <si>
    <t>Stack</t>
  </si>
  <si>
    <t>Next.js (frontend) + FastAPI (backend Python)</t>
  </si>
  <si>
    <t>UI tuỳ biến cao; NLP giữ ở Python</t>
  </si>
  <si>
    <t>Thời gian / nhân lực</t>
  </si>
  <si>
    <t>3–4 tuần · 4 người</t>
  </si>
  <si>
    <t>Timeline 4 tuần ở sheet 08_KeHoach</t>
  </si>
  <si>
    <t>Khối kiến thức</t>
  </si>
  <si>
    <t>Regex + chuẩn hoá + BIO + metrics · LLM IE (prompt, schema, grounding) · HMM/CRF cổ điển</t>
  </si>
  <si>
    <t>PhoBERT: ngoài phạm vi, chỉ nêu ở future work</t>
  </si>
  <si>
    <t>Mục lục</t>
  </si>
  <si>
    <t>Sheet</t>
  </si>
  <si>
    <t>01_HieuDe</t>
  </si>
  <si>
    <t>Giải phẫu đề bài + 4 tầng của bài toán</t>
  </si>
  <si>
    <t>02_Schema</t>
  </si>
  <si>
    <t>Schema chuẩn từng trường + quy tắc chuẩn hoá</t>
  </si>
  <si>
    <t>03_DoKho</t>
  </si>
  <si>
    <t>Taxonomy độ khó dữ liệu — cơ sở chọn 10 bài test</t>
  </si>
  <si>
    <t>04_KienTruc</t>
  </si>
  <si>
    <t>Pipeline Hybrid: module, công nghệ, người phụ trách</t>
  </si>
  <si>
    <t>05_GiaoDien</t>
  </si>
  <si>
    <t>6 màn hình UI + nguyên tắc thiết kế</t>
  </si>
  <si>
    <t>06_DanhGia</t>
  </si>
  <si>
    <t>Định nghĩa metric + bảng kết quả có công thức P/R/F1</t>
  </si>
  <si>
    <t>07_KienThuc</t>
  </si>
  <si>
    <t>Bản đồ kiến thức ↔ bài giảng TMG301 + ngân hàng câu hỏi vấn đáp</t>
  </si>
  <si>
    <t>08_KeHoach</t>
  </si>
  <si>
    <t>Timeline 4 tuần (ngày tự tính từ ngày bắt đầu)</t>
  </si>
  <si>
    <t>09_PhanCong</t>
  </si>
  <si>
    <t>Vai trò 4 thành viên + khối lượng việc (tự đếm)</t>
  </si>
  <si>
    <t>10_RuiRo</t>
  </si>
  <si>
    <t>Sổ rủi ro (điểm = khả năng × tác động)</t>
  </si>
  <si>
    <t>11_NguonTK</t>
  </si>
  <si>
    <t>Nguồn tham khảo + mức kiểm chứng</t>
  </si>
  <si>
    <t>12_ThuatNgu</t>
  </si>
  <si>
    <t>Thuật ngữ Anh–Việt</t>
  </si>
  <si>
    <t>Đọc đúng đề — giải phẫu từng câu chữ</t>
  </si>
  <si>
    <t>Nguồn: ảnh chụp đề bài (Đề tài 8).</t>
  </si>
  <si>
    <t>Câu chữ trong đề</t>
  </si>
  <si>
    <t>Nghĩa đen</t>
  </si>
  <si>
    <t>Nghĩa ẩn / ngầm định</t>
  </si>
  <si>
    <t>Hệ quả thiết kế</t>
  </si>
  <si>
    <t>Nền tảng: Sequence Labeling</t>
  </si>
  <si>
    <t>Gán nhãn chuỗi</t>
  </si>
  <si>
    <t>Giảng viên kỳ vọng diễn đạt bài toán dưới dạng BIO tagging, kể cả khi dùng LLM. TMG301 KHÔNG có chương riêng về sequence labeling → phải tự học (SLP3).</t>
  </si>
  <si>
    <t>Gold set gán ở mức span; UI có chế độ hiện nhãn BIO; slide lý thuyết BIO/HMM/CRF</t>
  </si>
  <si>
    <t>&amp; Regular Expressions</t>
  </si>
  <si>
    <t>Regex</t>
  </si>
  <si>
    <t>Bám bài giảng 01 (Regex, Text Normalization, Edit Distance)</t>
  </si>
  <si>
    <t>Regex là baseline bắt buộc, không phải phương án phụ</t>
  </si>
  <si>
    <t>Bot tự động đọc… Facebook Groups</t>
  </si>
  <si>
    <t>Một con bot</t>
  </si>
  <si>
    <t>Groups API đã gỡ (22/04/2024); scraping vi phạm ToS Meta</t>
  </si>
  <si>
    <t>'Bot' = web app nhận bài dán/import; nêu rõ lý do trong báo cáo</t>
  </si>
  <si>
    <t>bài đăng lộn xộn</t>
  </si>
  <si>
    <t>Văn bản nhiễu</t>
  </si>
  <si>
    <t>Teencode, không dấu, emoji, viết tắt, nhiều tin/bài, giấu giá</t>
  </si>
  <si>
    <t>Cần tầng tiền xử lý + từ điển viết tắt, giữ bản đồ vị trí ký tự (offset map) để bôi màu đúng</t>
  </si>
  <si>
    <t>điền vào bảng cấu trúc chuẩn</t>
  </si>
  <si>
    <t>Ra bảng</t>
  </si>
  <si>
    <t>'Chuẩn' = giá trị đã chuẩn hoá, không phải chuỗi thô</t>
  </si>
  <si>
    <t>Schema + normalizer cho từng trường; có trạng thái null hợp lệ</t>
  </si>
  <si>
    <t>Giá, Diện tích, Vị trí, Số phòng</t>
  </si>
  <si>
    <t>4 trường</t>
  </si>
  <si>
    <t>Mỗi trường có nhập nhằng riêng (sheet 03_DoKho)</t>
  </si>
  <si>
    <t>Mỗi trường có sub-field (sheet 02_Schema)</t>
  </si>
  <si>
    <t>regex hoặc prompt LLM</t>
  </si>
  <si>
    <t>Chọn một</t>
  </si>
  <si>
    <t>'Hoặc' cho phép chọn một, nhưng so sánh cả hai mới thể hiện tư duy nghiên cứu</t>
  </si>
  <si>
    <t>Chạy song song 3 hệ: Regex / LLM / Hybrid và đo</t>
  </si>
  <si>
    <t>10 bài đăng thực tế phức tạp</t>
  </si>
  <si>
    <t>10 bài</t>
  </si>
  <si>
    <t>'Phức tạp' phải định nghĩa có hệ thống</t>
  </si>
  <si>
    <t>Chọn 10 bài phủ taxonomy; giữ riêng làm test, KHÔNG tinh chỉnh trên đó</t>
  </si>
  <si>
    <t>Bài toán có 4 tầng</t>
  </si>
  <si>
    <t>Tầng</t>
  </si>
  <si>
    <t>Tên</t>
  </si>
  <si>
    <t>Việc phải làm</t>
  </si>
  <si>
    <t>Kiến thức TMG301</t>
  </si>
  <si>
    <t>Tầng 0</t>
  </si>
  <si>
    <t>Lọc &amp; phân loại bài</t>
  </si>
  <si>
    <t>bán / cho thuê / cần mua / cần thuê / spam. Bài 'cần thuê tầm 10tr' → giá là ngân sách</t>
  </si>
  <si>
    <t>Bài 03 Naive Bayes, 04 Logistic Regression</t>
  </si>
  <si>
    <t>Tầng 1</t>
  </si>
  <si>
    <t>Phát hiện span (sequence labeling)</t>
  </si>
  <si>
    <t>Tìm đoạn chứa giá, DT, vị trí, số phòng</t>
  </si>
  <si>
    <t>Bài 01 Regex · 10 slot filling · 08 token classification (tham khảo) · SLP3 sequence labeling</t>
  </si>
  <si>
    <t>Tầng 2</t>
  </si>
  <si>
    <t>Chuẩn hoá giá trị</t>
  </si>
  <si>
    <t>'5ty2' → 5 200 000 000 · '4x16' → 64 m² · '2N2VS' → 2 phòng ngủ</t>
  </si>
  <si>
    <t>Bài 01 Text Normalization</t>
  </si>
  <si>
    <t>Tầng 3</t>
  </si>
  <si>
    <t>Phân giải ngữ nghĩa</t>
  </si>
  <si>
    <t>Nhiều số tiền: số nào là giá? Giá/m² hay tổng? Địa chỉ cũ → mới?</t>
  </si>
  <si>
    <t>Bài 14 Information Extraction · Bài 01 Edit Distance (so khớp mờ địa danh)</t>
  </si>
  <si>
    <t>Ví dụ BIO (bài tự tạo):</t>
  </si>
  <si>
    <t>Bán nhà hẻm Huỳnh Tấn Phát Q7 , DT 4x16 , 3PN , giá 5ty2</t>
  </si>
  <si>
    <t>O   O   O   B-LOC I-LOC I-LOC I-LOC O O B-AREA O B-ROOM O O B-PRICE</t>
  </si>
  <si>
    <t>Nhận định về giả thuyết 'điểm cao nhờ giao diện':</t>
  </si>
  <si>
    <t>Đồng ý một phần. Đề có 'Định hướng sản phẩm' nên demo được chấm, nhưng đây là môn NLP: sẽ bị hỏi 'sequence labeling ở đâu, sai ở đâu, đo bằng gì'. Chiến lược: UI là cửa sổ nhìn vào NLP (bôi màu span, nhãn nguồn Regex/LLM, độ tin cậy, so sánh, dashboard metric).</t>
  </si>
  <si>
    <t>Schema chuẩn + quy tắc chuẩn hoá (output JSON của mọi hệ)</t>
  </si>
  <si>
    <t>Định danh field bằng tiếng Anh (dùng trong code). Ví dụ thô do nhóm tự tạo để minh hoạ.</t>
  </si>
  <si>
    <t>Trường</t>
  </si>
  <si>
    <t>Sub-field (key)</t>
  </si>
  <si>
    <t>Kiểu</t>
  </si>
  <si>
    <t>Đơn vị</t>
  </si>
  <si>
    <t>Quy tắc chuẩn hoá</t>
  </si>
  <si>
    <t>Ví dụ thô</t>
  </si>
  <si>
    <t>Giá trị chuẩn</t>
  </si>
  <si>
    <t>Khi không có</t>
  </si>
  <si>
    <t>Phương pháp chính</t>
  </si>
  <si>
    <t>META</t>
  </si>
  <si>
    <t>post_type</t>
  </si>
  <si>
    <t>enum</t>
  </si>
  <si>
    <t>—</t>
  </si>
  <si>
    <t>sell / rent_out / want_buy / want_rent / spam. Từ khoá + LLM dự phòng</t>
  </si>
  <si>
    <t>Cần thuê nhà GV tầm 12tr</t>
  </si>
  <si>
    <t>want_rent</t>
  </si>
  <si>
    <t>unknown</t>
  </si>
  <si>
    <t>Rule + LLM</t>
  </si>
  <si>
    <t>listings[]</t>
  </si>
  <si>
    <t>list</t>
  </si>
  <si>
    <t>Một bài nhiều căn → mỗi căn một bản ghi</t>
  </si>
  <si>
    <t>Căn A… / Căn B…</t>
  </si>
  <si>
    <t>2 bản ghi</t>
  </si>
  <si>
    <t>[] (rỗng)</t>
  </si>
  <si>
    <t>PRICE</t>
  </si>
  <si>
    <t>price.value</t>
  </si>
  <si>
    <t>int</t>
  </si>
  <si>
    <t>VND</t>
  </si>
  <si>
    <t>tỷ=1e9; tr/triệu/củ=1e6; k/nghìn=1e3. Số sau đơn vị là phần thập phân của đơn vị đó: 5ty2=5.2 tỷ; 5ty25=5.25 tỷ; 6tr5=6.5 tr</t>
  </si>
  <si>
    <t>5ty2</t>
  </si>
  <si>
    <t>5200000000</t>
  </si>
  <si>
    <t>null</t>
  </si>
  <si>
    <t>Regex (+LLM xác nhận)</t>
  </si>
  <si>
    <t>price.min / price.max</t>
  </si>
  <si>
    <t>Khoảng giá '3-3.5 tỷ', 'tầm 12-15tr'</t>
  </si>
  <si>
    <t>3-3.5 tỷ</t>
  </si>
  <si>
    <t>3e9 / 3.5e9</t>
  </si>
  <si>
    <t>price.type</t>
  </si>
  <si>
    <t>sale_total / rent_monthly / unit_price_per_m2 / budget. '/th','/tháng' → rent_monthly; '/m2' → unit_price; post_type want_* → budget</t>
  </si>
  <si>
    <t>6tr5/th</t>
  </si>
  <si>
    <t>rent_monthly</t>
  </si>
  <si>
    <t>Regex + Tầng 0</t>
  </si>
  <si>
    <t>price.negotiable</t>
  </si>
  <si>
    <t>bool</t>
  </si>
  <si>
    <t>'TL', 'thương lượng', 'thỏa thuận', 'còn bớt'</t>
  </si>
  <si>
    <t>5ty2 TL nhẹ</t>
  </si>
  <si>
    <t>true</t>
  </si>
  <si>
    <t>false</t>
  </si>
  <si>
    <t>price.missing_reason</t>
  </si>
  <si>
    <t>hidden ('ib giá', 'inbox') / not_mentioned</t>
  </si>
  <si>
    <t>giá ib</t>
  </si>
  <si>
    <t>hidden</t>
  </si>
  <si>
    <t>AREA</t>
  </si>
  <si>
    <t>area.land_m2</t>
  </si>
  <si>
    <t>float</t>
  </si>
  <si>
    <t>m²</t>
  </si>
  <si>
    <t>m2/m²/mét vuông/m vuông; 'RxD' → R×D (đánh dấu derived)</t>
  </si>
  <si>
    <t>DT 4x16</t>
  </si>
  <si>
    <t>64.0</t>
  </si>
  <si>
    <t>area.width_m / length_m</t>
  </si>
  <si>
    <t>m</t>
  </si>
  <si>
    <t>Từ dạng 4x16, 4 x 16m, 4*16; 'nở hậu' → irregular=true</t>
  </si>
  <si>
    <t>4x16 nở hậu 4.5</t>
  </si>
  <si>
    <t>4 / 16</t>
  </si>
  <si>
    <t>area.floor_m2 / usable_m2</t>
  </si>
  <si>
    <t>'xây 80m2', 'DTSD 240m2', 'sàn'</t>
  </si>
  <si>
    <t>DTSD 240m2</t>
  </si>
  <si>
    <t>usable=240</t>
  </si>
  <si>
    <t>Regex + LLM</t>
  </si>
  <si>
    <t>LOCATION</t>
  </si>
  <si>
    <t>loc.raw</t>
  </si>
  <si>
    <t>str</t>
  </si>
  <si>
    <t>Đúng đoạn chữ trong bài (để neo span)</t>
  </si>
  <si>
    <t>hẻm XH Huỳnh Tấn Phát Q7</t>
  </si>
  <si>
    <t>(nguyên văn)</t>
  </si>
  <si>
    <t>LLM + Regex</t>
  </si>
  <si>
    <t>loc.street</t>
  </si>
  <si>
    <t>Tên đường, chuẩn hoá dấu</t>
  </si>
  <si>
    <t>Huynh Tan Phat</t>
  </si>
  <si>
    <t>Huỳnh Tấn Phát</t>
  </si>
  <si>
    <t>loc.district_legacy</t>
  </si>
  <si>
    <t>Quận/huyện CŨ (người dùng vẫn viết) — Q7 → Quận 7</t>
  </si>
  <si>
    <t>Q7</t>
  </si>
  <si>
    <t>Quận 7</t>
  </si>
  <si>
    <t>Regex + từ điển</t>
  </si>
  <si>
    <t>loc.ward_new / province_new</t>
  </si>
  <si>
    <t>Ánh xạ sang hệ 34 tỉnh, 2 cấp (từ 01/07/2025) bằng vietnamadminunits; so khớp mờ bằng edit distance</t>
  </si>
  <si>
    <t>P. Tân Phong, Q7</t>
  </si>
  <si>
    <t>(tra bảng mapping)</t>
  </si>
  <si>
    <t>Thư viện + fuzzy</t>
  </si>
  <si>
    <t>loc.poi_or_project</t>
  </si>
  <si>
    <t>Mốc/dự án: 'gần Lotte Mart', 'Vinhomes Grand Park', 'KDC Him Lam'</t>
  </si>
  <si>
    <t>gần Lotte Q7</t>
  </si>
  <si>
    <t>Lotte Mart (POI)</t>
  </si>
  <si>
    <t>ROOMS</t>
  </si>
  <si>
    <t>rooms.bedrooms</t>
  </si>
  <si>
    <t>phòng</t>
  </si>
  <si>
    <t>PN / N / ngủ / phòng ngủ; studio → 0 (quy ước ghi trong guideline)</t>
  </si>
  <si>
    <t>3PN 2WC</t>
  </si>
  <si>
    <t>3</t>
  </si>
  <si>
    <t>rooms.bathrooms</t>
  </si>
  <si>
    <t>WC / VS / toilet / vệ sinh</t>
  </si>
  <si>
    <t>2N2VS</t>
  </si>
  <si>
    <t>2</t>
  </si>
  <si>
    <t>rooms.floors</t>
  </si>
  <si>
    <t>tầng</t>
  </si>
  <si>
    <t>'1 trệt 2 lầu' → 3; '3 tầng' → 3</t>
  </si>
  <si>
    <t>1 trệt 2 lầu</t>
  </si>
  <si>
    <t>GROUNDING</t>
  </si>
  <si>
    <t>spans[]</t>
  </si>
  <si>
    <t>{field, start, end, text, source: regex|llm, rule_id}. LLM phải trả extraction_text NGUYÊN VĂN; không tìm thấy trong bài → loại (chống bịa)</t>
  </si>
  <si>
    <t>[]</t>
  </si>
  <si>
    <t>Hệ thống</t>
  </si>
  <si>
    <t>confidence</t>
  </si>
  <si>
    <t>high: 2 nguồn khớp · medium: 1 nguồn · low: 2 nguồn lệch → cờ 'cần xem' trên UI</t>
  </si>
  <si>
    <t>high</t>
  </si>
  <si>
    <t>Validator</t>
  </si>
  <si>
    <t>Taxonomy độ khó dữ liệu — cơ sở chọn 10 bài test 'phức tạp'</t>
  </si>
  <si>
    <t>Ví dụ do nhóm tự tạo minh hoạ, KHÔNG phải dữ liệu thật. Cột H–I (vàng) nhóm điền khi chọn bài test. Mục tiêu: mỗi trường ≥2 ô khó được phủ.</t>
  </si>
  <si>
    <t>Mã</t>
  </si>
  <si>
    <t>Hiện tượng</t>
  </si>
  <si>
    <t>Ví dụ (tự tạo)</t>
  </si>
  <si>
    <t>Giá trị chuẩn kỳ vọng</t>
  </si>
  <si>
    <t>Độ khó (1–3)</t>
  </si>
  <si>
    <t>Cách xử lý dự kiến</t>
  </si>
  <si>
    <t>Có trong test? (Có/Không)</t>
  </si>
  <si>
    <t>Bài test số</t>
  </si>
  <si>
    <t>P1</t>
  </si>
  <si>
    <t>Viết tắt + số lẻ kiểu nói</t>
  </si>
  <si>
    <t>5ty2 / 5 tỷ 2 / 5t2</t>
  </si>
  <si>
    <t>5 200 000 000</t>
  </si>
  <si>
    <t>Regex đơn vị + phần lẻ</t>
  </si>
  <si>
    <t>P2</t>
  </si>
  <si>
    <t>Giá thuê theo tháng</t>
  </si>
  <si>
    <t>6tr5/th bao nước</t>
  </si>
  <si>
    <t>6 500 000, rent_monthly</t>
  </si>
  <si>
    <t>Regex + hậu tố /th</t>
  </si>
  <si>
    <t>P3</t>
  </si>
  <si>
    <t>Giá theo m²</t>
  </si>
  <si>
    <t>đất 100m2 giá 45tr/m2</t>
  </si>
  <si>
    <t>unit 45tr/m²; tổng 4.5 tỷ (derived)</t>
  </si>
  <si>
    <t>Regex + luật suy tổng</t>
  </si>
  <si>
    <t>P4</t>
  </si>
  <si>
    <t>Khoảng giá</t>
  </si>
  <si>
    <t>tầm 12-15tr</t>
  </si>
  <si>
    <t>min 12tr, max 15tr</t>
  </si>
  <si>
    <t>P5</t>
  </si>
  <si>
    <t>Số gây nhiễu (cọc, phí, SĐT)</t>
  </si>
  <si>
    <t>cọc 2 tháng, phí QL 15k/m2, LH 0909…</t>
  </si>
  <si>
    <t>KHÔNG phải giá</t>
  </si>
  <si>
    <t>Luật loại trừ + LLM</t>
  </si>
  <si>
    <t>P6</t>
  </si>
  <si>
    <t>Nhiều giá (cũ/mới)</t>
  </si>
  <si>
    <t>giá cũ 3.2 tỷ nay chỉ 2.9 tỷ</t>
  </si>
  <si>
    <t>2 900 000 000</t>
  </si>
  <si>
    <t>LLM + validator</t>
  </si>
  <si>
    <t>P7</t>
  </si>
  <si>
    <t>Ẩn giá</t>
  </si>
  <si>
    <t>null, hidden</t>
  </si>
  <si>
    <t>P8</t>
  </si>
  <si>
    <t>Tiếng lóng</t>
  </si>
  <si>
    <t>5 tỏi</t>
  </si>
  <si>
    <t>5 000 000 000</t>
  </si>
  <si>
    <t>Từ điển lóng</t>
  </si>
  <si>
    <t>A1</t>
  </si>
  <si>
    <t>Ngang × dài</t>
  </si>
  <si>
    <t>DT 4x16 / 4 x 16m</t>
  </si>
  <si>
    <t>64 m² (derived)</t>
  </si>
  <si>
    <t>A2</t>
  </si>
  <si>
    <t>Nở hậu / không vuông</t>
  </si>
  <si>
    <t>64 m² + irregular</t>
  </si>
  <si>
    <t>Regex + cờ</t>
  </si>
  <si>
    <t>A3</t>
  </si>
  <si>
    <t>Nhiều loại DT</t>
  </si>
  <si>
    <t>đất 100m2, xây 80m2, DTSD 240m2</t>
  </si>
  <si>
    <t>land 100 / floor 80 / usable 240</t>
  </si>
  <si>
    <t>A4</t>
  </si>
  <si>
    <t>Đơn vị viết chữ</t>
  </si>
  <si>
    <t>60 mét vuông</t>
  </si>
  <si>
    <t>60 m²</t>
  </si>
  <si>
    <t>L1</t>
  </si>
  <si>
    <t>Đơn vị hành chính cũ</t>
  </si>
  <si>
    <t>Q7 / huyện Nhà Bè</t>
  </si>
  <si>
    <t>legacy + ánh xạ 34 tỉnh</t>
  </si>
  <si>
    <t>Từ điển + vietnamadminunits</t>
  </si>
  <si>
    <t>L2</t>
  </si>
  <si>
    <t>Mốc tương đối / POI</t>
  </si>
  <si>
    <t>gần Lotte Mart Q7</t>
  </si>
  <si>
    <t>POI + Quận 7 (cũ)</t>
  </si>
  <si>
    <t>L3</t>
  </si>
  <si>
    <t>Tên dự án / KDC</t>
  </si>
  <si>
    <t>Vinhomes Grand Park</t>
  </si>
  <si>
    <t>project</t>
  </si>
  <si>
    <t>LLM + gazetteer</t>
  </si>
  <si>
    <t>L4</t>
  </si>
  <si>
    <t>Mặt tiền / hẻm</t>
  </si>
  <si>
    <t>MT Lê Văn Lương, HXH Huỳnh Tấn Phát</t>
  </si>
  <si>
    <t>street + loại</t>
  </si>
  <si>
    <t>L5</t>
  </si>
  <si>
    <t>Không dấu / sai chính tả</t>
  </si>
  <si>
    <t>binh thanh / Bình Thạn</t>
  </si>
  <si>
    <t>Bình Thạnh</t>
  </si>
  <si>
    <t>Edit distance</t>
  </si>
  <si>
    <t>L6</t>
  </si>
  <si>
    <t>Trùng tên địa danh</t>
  </si>
  <si>
    <t>Phú Mỹ</t>
  </si>
  <si>
    <t>cần ngữ cảnh tỉnh</t>
  </si>
  <si>
    <t>R1</t>
  </si>
  <si>
    <t>Viết tắt miền Nam</t>
  </si>
  <si>
    <t>3PN 2WC, 1 trệt 2 lầu</t>
  </si>
  <si>
    <t>bed 3, bath 2, floors 3</t>
  </si>
  <si>
    <t>R2</t>
  </si>
  <si>
    <t>Viết tắt miền Bắc</t>
  </si>
  <si>
    <t>2N2VS, căn 3 ngủ</t>
  </si>
  <si>
    <t>bed 2, bath 2</t>
  </si>
  <si>
    <t>R3</t>
  </si>
  <si>
    <t>Cộng thêm / studio</t>
  </si>
  <si>
    <t>2PN+1, studio</t>
  </si>
  <si>
    <t>bed 2 + plus; studio=0</t>
  </si>
  <si>
    <t>Regex + quy ước</t>
  </si>
  <si>
    <t>X1</t>
  </si>
  <si>
    <t>POST</t>
  </si>
  <si>
    <t>Nhiều tin trong một bài</t>
  </si>
  <si>
    <t>Căn 1… Căn 2… Căn 3…</t>
  </si>
  <si>
    <t>nhiều bản ghi</t>
  </si>
  <si>
    <t>X2</t>
  </si>
  <si>
    <t>Bài cầu (cần thuê/mua)</t>
  </si>
  <si>
    <t>Cần thuê nguyên căn GV tầm 12-15tr</t>
  </si>
  <si>
    <t>post_type want_rent, budget</t>
  </si>
  <si>
    <t>X3</t>
  </si>
  <si>
    <t>Spam / không phải BĐS</t>
  </si>
  <si>
    <t>Tuyển CTV bán hàng…</t>
  </si>
  <si>
    <t>spam</t>
  </si>
  <si>
    <t>X4</t>
  </si>
  <si>
    <t>Teencode + emoji + IN HOA</t>
  </si>
  <si>
    <t>🔥CHÍNH CHỦ BÁN GẤP🔥 nhà đẹp ko mua tiếc</t>
  </si>
  <si>
    <t>(tiền xử lý)</t>
  </si>
  <si>
    <t>Tiền xử lý</t>
  </si>
  <si>
    <t>Độ phủ test theo trường (tự đếm)</t>
  </si>
  <si>
    <t>Số hiện tượng</t>
  </si>
  <si>
    <t>Đã phủ trong test</t>
  </si>
  <si>
    <t>Tỉ lệ phủ</t>
  </si>
  <si>
    <t>Kiến trúc Hybrid Regex + LLM + Validator (phương án C — đã chốt)</t>
  </si>
  <si>
    <t>Luồng: Nhập → Tiền xử lý → Tầng 0 → [Regex ║ LLM] → Chuẩn hoá → Validator → Lưu → UI/Xuất. TV = thành viên (xem 09_PhanCong).</t>
  </si>
  <si>
    <t>Module</t>
  </si>
  <si>
    <t>Chức năng</t>
  </si>
  <si>
    <t>Đầu ra</t>
  </si>
  <si>
    <t>Công nghệ</t>
  </si>
  <si>
    <t>Phụ trách</t>
  </si>
  <si>
    <t>Lưu ý kỹ thuật</t>
  </si>
  <si>
    <t>M0</t>
  </si>
  <si>
    <t>Nhập bài (ingest)</t>
  </si>
  <si>
    <t>Dán text / import CSV-JSON nhiều bài; gán post_id; ẩn SĐT/tên ngay khi nhập</t>
  </si>
  <si>
    <t>Bài thô</t>
  </si>
  <si>
    <t>FastAPI POST /posts</t>
  </si>
  <si>
    <t>TV2</t>
  </si>
  <si>
    <t>Ẩn danh trước khi lưu (Luật 91/2025)</t>
  </si>
  <si>
    <t>M1</t>
  </si>
  <si>
    <t>Unicode NFC · bỏ/thay emoji · từ điển viết tắt-teencode · tách tin</t>
  </si>
  <si>
    <t>Text sạch + offset map về bài gốc</t>
  </si>
  <si>
    <t>Python, underthesea (tuỳ chọn)</t>
  </si>
  <si>
    <t>TV1</t>
  </si>
  <si>
    <t>BẮT BUỘC giữ offset map, nếu không UI bôi màu lệch vị trí</t>
  </si>
  <si>
    <t>M2</t>
  </si>
  <si>
    <t>Tầng 0: phân loại bài</t>
  </si>
  <si>
    <t>sell / rent_out / want_buy / want_rent / spam</t>
  </si>
  <si>
    <t>Luật từ khoá + Gemini dự phòng</t>
  </si>
  <si>
    <t>Liên hệ bài 03–04 (phân loại văn bản)</t>
  </si>
  <si>
    <t>M3a</t>
  </si>
  <si>
    <t>Regex extractor</t>
  </si>
  <si>
    <t>Pattern cho giá, DT, phòng (+ từ điển quận/huyện cũ); mỗi pattern có rule_id</t>
  </si>
  <si>
    <t>spans (source=regex)</t>
  </si>
  <si>
    <t>Python re / regex</t>
  </si>
  <si>
    <t>Baseline; test đơn vị cho từng pattern</t>
  </si>
  <si>
    <t>M3b</t>
  </si>
  <si>
    <t>LLM extractor</t>
  </si>
  <si>
    <t>Few-shot + JSON schema (Pydantic); yêu cầu trích NGUYÊN VĂN → tự tính offset; span không có trong bài → loại</t>
  </si>
  <si>
    <t>spans (source=llm)</t>
  </si>
  <si>
    <t>Gemini API (google-genai); tham khảo LangExtract</t>
  </si>
  <si>
    <t>Nếu free tier không hỗ trợ structured output: prompt JSON + validate Pydantic + retry</t>
  </si>
  <si>
    <t>M4</t>
  </si>
  <si>
    <t>Chuẩn hoá (normalizer)</t>
  </si>
  <si>
    <t>Tiền → VND; DT → m²; phòng → int; địa chỉ cũ → 34 tỉnh</t>
  </si>
  <si>
    <t>Python; vietnamadminunits; edit distance</t>
  </si>
  <si>
    <t>TV1 + TV2</t>
  </si>
  <si>
    <t>Bảng test chuẩn hoá ≥30 ca</t>
  </si>
  <si>
    <t>M5</t>
  </si>
  <si>
    <t>Validator / reconciler</t>
  </si>
  <si>
    <t>So 2 nguồn → confidence; luật sanity (giá thuê/tháng &lt; giá bán; DT 5–10 000 m²…)</t>
  </si>
  <si>
    <t>Bản ghi cuối + cờ cần xem</t>
  </si>
  <si>
    <t>Python</t>
  </si>
  <si>
    <t>Ngưỡng sanity = giả định thiết kế, ghi trong báo cáo</t>
  </si>
  <si>
    <t>M6</t>
  </si>
  <si>
    <t>Lưu trữ</t>
  </si>
  <si>
    <t>posts, extractions (theo hệ), gold_labels, eval_runs</t>
  </si>
  <si>
    <t>SQLite</t>
  </si>
  <si>
    <t>SQLite + SQLModel</t>
  </si>
  <si>
    <t>Cache kết quả để demo offline</t>
  </si>
  <si>
    <t>M7</t>
  </si>
  <si>
    <t>Đánh giá</t>
  </si>
  <si>
    <t>Span-level P/R/F1 (strict/partial) · exact-match · null accuracy · chi phí/độ trễ</t>
  </si>
  <si>
    <t>Báo cáo metric</t>
  </si>
  <si>
    <t>seqeval + script riêng</t>
  </si>
  <si>
    <t>TV4</t>
  </si>
  <si>
    <t>Chỉ chạy test SAU KHI đóng băng hệ thống</t>
  </si>
  <si>
    <t>M8</t>
  </si>
  <si>
    <t>Frontend</t>
  </si>
  <si>
    <t>6 màn hình (sheet 05_GiaoDien)</t>
  </si>
  <si>
    <t>Web app</t>
  </si>
  <si>
    <t>Next.js + TypeScript</t>
  </si>
  <si>
    <t>TV3</t>
  </si>
  <si>
    <t>Gọi API M0–M7</t>
  </si>
  <si>
    <t>M9</t>
  </si>
  <si>
    <t>Xuất dữ liệu</t>
  </si>
  <si>
    <t>Bảng chuẩn → Excel/CSV</t>
  </si>
  <si>
    <t>.xlsx/.csv</t>
  </si>
  <si>
    <t>FastAPI + openpyxl</t>
  </si>
  <si>
    <t>Phương án đã cân nhắc</t>
  </si>
  <si>
    <t>Phương án khác</t>
  </si>
  <si>
    <t>Quyết định</t>
  </si>
  <si>
    <t>A. Chỉ Regex + luật</t>
  </si>
  <si>
    <t>Loại</t>
  </si>
  <si>
    <t>Yếu ở Vị trí và văn phong lạ; vẫn giữ làm baseline trong C</t>
  </si>
  <si>
    <t>B. Chỉ prompt LLM</t>
  </si>
  <si>
    <t>Rủi ro bịa giá trị, phụ thuộc quota, khó trả lời 'sequence labeling ở đâu'; vẫn giữ làm hệ so sánh trong C</t>
  </si>
  <si>
    <t>D. C + fine-tune PhoBERT</t>
  </si>
  <si>
    <t>Để future work</t>
  </si>
  <si>
    <t>Cần ≥300 bài gán nhãn, vượt 3–4 tuần × 4 người</t>
  </si>
  <si>
    <t>Giao diện — 'UI làm lộ NLP' (Explainable extraction workbench)</t>
  </si>
  <si>
    <t>Ưu tiên: Must = bắt buộc cho demo; Should = nên có; Could = nếu dư thời gian. Bước kế tiếp: chốt hướng thiết kế bằng skill design-web.</t>
  </si>
  <si>
    <t>Màn hình</t>
  </si>
  <si>
    <t>Thành phần chính</t>
  </si>
  <si>
    <t>NLP được thể hiện</t>
  </si>
  <si>
    <t>API</t>
  </si>
  <si>
    <t>Ưu tiên</t>
  </si>
  <si>
    <t>Tuần</t>
  </si>
  <si>
    <t>S1</t>
  </si>
  <si>
    <t>Nhập bài</t>
  </si>
  <si>
    <t>Ô dán text, import nhiều bài, danh sách bài + trạng thái xử lý</t>
  </si>
  <si>
    <t>POST /posts</t>
  </si>
  <si>
    <t>Must</t>
  </si>
  <si>
    <t>S2</t>
  </si>
  <si>
    <t>Trích xuất (màn chính)</t>
  </si>
  <si>
    <t>Trái: bài gốc bôi màu span theo trường (màu + nhãn chữ + gạch chân, không chỉ dùng màu). Phải: thẻ giá trị chuẩn + badge nguồn (Regex #rule / LLM) + độ tin cậy. Nút bật/tắt hiện nhãn BIO dưới từng token</t>
  </si>
  <si>
    <t>Sequence labeling hiện ra mắt thường</t>
  </si>
  <si>
    <t>POST /extract</t>
  </si>
  <si>
    <t>S3</t>
  </si>
  <si>
    <t>So sánh</t>
  </si>
  <si>
    <t>3 cột Regex / LLM / Gold; tô chỗ lệch; lọc theo hiện tượng (03_DoKho)</t>
  </si>
  <si>
    <t>Tư duy so sánh phương pháp</t>
  </si>
  <si>
    <t>GET /compare/{id}</t>
  </si>
  <si>
    <t>S4</t>
  </si>
  <si>
    <t>Bảng dữ liệu</t>
  </si>
  <si>
    <t>Bảng chuẩn 4 trường + sub-field; lọc giá/DT/khu vực; sắp xếp; xuất Excel; biểu đồ giá/m² theo khu vực</t>
  </si>
  <si>
    <t>Đúng chữ 'bảng cấu trúc chuẩn'</t>
  </si>
  <si>
    <t>GET /listings, /export</t>
  </si>
  <si>
    <t>S5</t>
  </si>
  <si>
    <t>Dashboard đánh giá</t>
  </si>
  <si>
    <t>P/R/F1 theo trường × hệ; null accuracy; ma trận lỗi theo taxonomy; chi phí/độ trễ</t>
  </si>
  <si>
    <t>Độ chặt khoa học</t>
  </si>
  <si>
    <t>GET /eval/{run}</t>
  </si>
  <si>
    <t>S6</t>
  </si>
  <si>
    <t>Sửa &amp; gán nhãn (HITL)</t>
  </si>
  <si>
    <t>Click span để sửa/thêm/xoá → lưu thành gold → metric cập nhật</t>
  </si>
  <si>
    <t>Vòng phản hồi người–máy</t>
  </si>
  <si>
    <t>PUT /gold/{id}</t>
  </si>
  <si>
    <t>Should</t>
  </si>
  <si>
    <t>S7</t>
  </si>
  <si>
    <t>Bản đồ</t>
  </si>
  <si>
    <t>Ghim bản ghi lên bản đồ theo phường/tỉnh mới</t>
  </si>
  <si>
    <t>Giá trị chuẩn hoá địa chỉ</t>
  </si>
  <si>
    <t>Could</t>
  </si>
  <si>
    <t>Nguyên tắc thiết kế</t>
  </si>
  <si>
    <t>Nguyên tắc</t>
  </si>
  <si>
    <t>Chi tiết</t>
  </si>
  <si>
    <t>Một hướng thiết kế dứt khoát</t>
  </si>
  <si>
    <t>Grounding: chủ đề BĐS VN + công cụ phân tích; người xem là giảng viên NLP. Tránh template SaaS mặc định (font hệ thống, gradient tím, 3 thẻ tính năng).</t>
  </si>
  <si>
    <t>Màu thực thể = hệ token</t>
  </si>
  <si>
    <t>4 màu cho PRICE/AREA/LOCATION/ROOMS + 1 màu nhấn; khai báo CSS variables; tương phản WCAG AA (chữ ≥4.5:1).</t>
  </si>
  <si>
    <t>Không truyền đạt chỉ bằng màu</t>
  </si>
  <si>
    <t>Mỗi span có nhãn chữ (GIÁ, DT, VT, PN) + kiểu gạch chân riêng; có chú giải.</t>
  </si>
  <si>
    <t>Đủ trạng thái</t>
  </si>
  <si>
    <t>Đang xử lý / rỗng / lỗi API (hết quota) / thành công; thông báo lỗi chỉ hướng xử lý.</t>
  </si>
  <si>
    <t>Bàn phím &amp; chuyển động</t>
  </si>
  <si>
    <t>Focus-visible cho mọi nút; tôn trọng prefers-reduced-motion.</t>
  </si>
  <si>
    <t>Demo an toàn</t>
  </si>
  <si>
    <t>Chế độ offline đọc kết quả đã cache khi mất mạng hoặc hết quota Gemini.</t>
  </si>
  <si>
    <t>Kế hoạch đánh giá + bảng kết quả (công thức tự tính)</t>
  </si>
  <si>
    <t>Chỉ điền ô vàng (TP/FP/FN, số đúng, tổng). Hàng VÍ DỤ minh hoạ định dạng — KHÔNG phải kết quả. Chạy test 1 lần sau khi đóng băng hệ thống.</t>
  </si>
  <si>
    <t>Metric</t>
  </si>
  <si>
    <t>Mức</t>
  </si>
  <si>
    <t>Định nghĩa</t>
  </si>
  <si>
    <t>Công cụ</t>
  </si>
  <si>
    <t>Span P/R/F1 (strict)</t>
  </si>
  <si>
    <t>Span</t>
  </si>
  <si>
    <t>Span dự đoán khớp CHÍNH XÁC ranh giới + loại với gold</t>
  </si>
  <si>
    <t>seqeval (mode strict, IOB2)</t>
  </si>
  <si>
    <t>Span P/R/F1 (partial)</t>
  </si>
  <si>
    <t>Chấp nhận chồng lấn một phần</t>
  </si>
  <si>
    <t>Script riêng</t>
  </si>
  <si>
    <t>Exact-match giá trị</t>
  </si>
  <si>
    <t>Giá trị chuẩn hoá trùng gold (giá lệch 0 VND; DT lệch ≤0.5 m²)</t>
  </si>
  <si>
    <t>Null accuracy</t>
  </si>
  <si>
    <t>Trả null đúng khi bài không có thông tin → đo bịa giá trị</t>
  </si>
  <si>
    <t>Tỉ lệ span không neo được</t>
  </si>
  <si>
    <t>Hệ LLM</t>
  </si>
  <si>
    <t>% giá trị LLM trả mà không tìm thấy nguyên văn trong bài</t>
  </si>
  <si>
    <t>Độ đồng thuận gán nhãn</t>
  </si>
  <si>
    <t>Gold set</t>
  </si>
  <si>
    <t>Cohen's kappa trên 20 bài gán chéo (nếu kịp)</t>
  </si>
  <si>
    <t>scikit-learn</t>
  </si>
  <si>
    <t>Chi phí &amp; độ trễ</t>
  </si>
  <si>
    <t>Số token, giây/bài cho từng hệ</t>
  </si>
  <si>
    <t>Log backend</t>
  </si>
  <si>
    <t>Bảng kết quả trên 10 bài TEST</t>
  </si>
  <si>
    <t>TP</t>
  </si>
  <si>
    <t>FP</t>
  </si>
  <si>
    <t>FN</t>
  </si>
  <si>
    <t>Precision</t>
  </si>
  <si>
    <t>Recall</t>
  </si>
  <si>
    <t>F1</t>
  </si>
  <si>
    <t>Số đúng (exact)</t>
  </si>
  <si>
    <t>Tổng trường gold</t>
  </si>
  <si>
    <t>Exact acc</t>
  </si>
  <si>
    <t>Ghi chú</t>
  </si>
  <si>
    <t>VÍ DỤ</t>
  </si>
  <si>
    <t>Minh hoạ định dạng — xoá khi có kết quả thật</t>
  </si>
  <si>
    <t>Hybrid</t>
  </si>
  <si>
    <t>Micro-average theo hệ (tự cộng)</t>
  </si>
  <si>
    <t>TẤT CẢ</t>
  </si>
  <si>
    <t>TMG301 không có chương riêng về Sequence Labeling / HMM / CRF (danh sách slide 00–17) → nhóm tự học từ SLP3 (giáo trình môn bám theo).</t>
  </si>
  <si>
    <t>Nội dung cần nắm</t>
  </si>
  <si>
    <t>Bài giảng TMG301</t>
  </si>
  <si>
    <t>Nguồn tự học</t>
  </si>
  <si>
    <t>K1</t>
  </si>
  <si>
    <t>Regex &amp; chuẩn hoá văn bản</t>
  </si>
  <si>
    <t>Pattern, nhóm bắt (capture group), lookahead; chuẩn hoá Unicode; tách từ tiếng Việt</t>
  </si>
  <si>
    <t>Bài 01 Regex – Text Normalization – Edit Distance</t>
  </si>
  <si>
    <t>SLP3 ch. Regular Expressions, Tokenization, Edit Distance</t>
  </si>
  <si>
    <t>K2</t>
  </si>
  <si>
    <t>Sequence labeling &amp; BIO</t>
  </si>
  <si>
    <t>Bài toán gán nhãn chuỗi; IOB2; NER như gán nhãn chuỗi; slot filling</t>
  </si>
  <si>
    <t>Không có chương riêng · liên quan Bài 08 (token classification), Bài 10 (slot filling)</t>
  </si>
  <si>
    <t>SLP3 ch. Sequence Labeling for Parts of Speech and Named Entities; Ramshaw &amp; Marcus 1995</t>
  </si>
  <si>
    <t>K3</t>
  </si>
  <si>
    <t>HMM</t>
  </si>
  <si>
    <t>Giả định Markov, xác suất chuyển/phát xạ, giải mã Viterbi (quy hoạch động)</t>
  </si>
  <si>
    <t>Bài 02 (giả định Markov) — HMM tự học</t>
  </si>
  <si>
    <t>SLP3 (cùng chương); Rabiner 1989</t>
  </si>
  <si>
    <t>K4</t>
  </si>
  <si>
    <t>CRF (linear-chain)</t>
  </si>
  <si>
    <t>Mô hình phân biệt vs sinh (liên hệ NB vs LR); feature function; vì sao CRF hợp NER; BiLSTM-CRF</t>
  </si>
  <si>
    <t>Bài 03–04 (generative vs discriminative) — CRF tự học</t>
  </si>
  <si>
    <t>SLP3; Lafferty et al. 2001; Lample et al. 2016</t>
  </si>
  <si>
    <t>K5</t>
  </si>
  <si>
    <t>Metric đánh giá NER</t>
  </si>
  <si>
    <t>P/R/F1 mức span, strict vs partial, micro vs macro; vì sao F1 mức token đánh giá cao quá mức</t>
  </si>
  <si>
    <t>Tjong Kim Sang &amp; De Meulder 2003 (CoNLL-2003); seqeval</t>
  </si>
  <si>
    <t>K6</t>
  </si>
  <si>
    <t>LLM cho IE</t>
  </si>
  <si>
    <t>Few-shot prompting; structured output / JSON schema; source grounding; hallucination &amp; cách đo</t>
  </si>
  <si>
    <t>Bài 07 Transformer &amp; PLM (nền)</t>
  </si>
  <si>
    <t>Xu et al. 2024 survey; LangExtract; JSONSchemaBench; tài liệu Gemini structured output</t>
  </si>
  <si>
    <t>K7</t>
  </si>
  <si>
    <t>Phân loại bài (Tầng 0)</t>
  </si>
  <si>
    <t>Phân loại văn bản bằng luật + LLM; liên hệ NB/LR</t>
  </si>
  <si>
    <t>SLP3</t>
  </si>
  <si>
    <t>K8</t>
  </si>
  <si>
    <t>So khớp mờ địa danh</t>
  </si>
  <si>
    <t>Levenshtein; ngưỡng; ánh xạ hành chính 63→34 tỉnh</t>
  </si>
  <si>
    <t>Bài 01 (Edit Distance)</t>
  </si>
  <si>
    <t>vietnamadminunits</t>
  </si>
  <si>
    <t>K9</t>
  </si>
  <si>
    <t>Information Extraction (bối cảnh)</t>
  </si>
  <si>
    <t>Vị trí của NER trong IE; template filling</t>
  </si>
  <si>
    <t>Bài 14 Relation &amp; Event Extraction</t>
  </si>
  <si>
    <t>SLP3 ch. Information Extraction</t>
  </si>
  <si>
    <t>K10</t>
  </si>
  <si>
    <t>Ngoài phạm vi: PhoBERT</t>
  </si>
  <si>
    <t>Chỉ nêu ở future work: fine-tune token classification, cần ≥300 bài gán nhãn</t>
  </si>
  <si>
    <t>Bài 08 Fine-Tuning &amp; MLM</t>
  </si>
  <si>
    <t>PhoBERT (Findings EMNLP 2020)</t>
  </si>
  <si>
    <t>Ngân hàng câu hỏi vấn đáp (mỗi người tập trả lời phần mình)</t>
  </si>
  <si>
    <t>Câu hỏi vấn đáp dự kiến</t>
  </si>
  <si>
    <t>Khối liên quan</t>
  </si>
  <si>
    <t>Q1</t>
  </si>
  <si>
    <t>BIO là gì? Gán nhãn câu mẫu của nhóm theo BIO.</t>
  </si>
  <si>
    <t>Q2</t>
  </si>
  <si>
    <t>HMM và CRF khác nhau thế nào? Vì sao CRF hợp NER hơn?</t>
  </si>
  <si>
    <t>K3, K4</t>
  </si>
  <si>
    <t>Q3</t>
  </si>
  <si>
    <t>Viterbi giải bài toán gì, độ phức tạp bao nhiêu?</t>
  </si>
  <si>
    <t>Q4</t>
  </si>
  <si>
    <t>Precision/Recall/F1 cho NER tính ở mức nào? Strict khác partial ra sao?</t>
  </si>
  <si>
    <t>Q5</t>
  </si>
  <si>
    <t>Vì sao không dùng chỉ LLM? Vì sao không chỉ regex?</t>
  </si>
  <si>
    <t>K1, K6</t>
  </si>
  <si>
    <t>Q6</t>
  </si>
  <si>
    <t>Làm sao biết LLM không bịa giá? (neo span + null accuracy)</t>
  </si>
  <si>
    <t>Vì sao 10 bài test không được dùng để chỉnh regex/prompt?</t>
  </si>
  <si>
    <t>Q8</t>
  </si>
  <si>
    <t>Regex xử lý '5ty2', '6tr5/th', '4x16' thế nào?</t>
  </si>
  <si>
    <t>Q9</t>
  </si>
  <si>
    <t>Địa chỉ 'Q7' sau sáp nhập 01/07/2025 xử lý ra sao?</t>
  </si>
  <si>
    <t>Q10</t>
  </si>
  <si>
    <t>Dữ liệu lấy từ đâu? Có vi phạm điều khoản Facebook / Luật BVDLCN không?</t>
  </si>
  <si>
    <t>04_KienTruc M0</t>
  </si>
  <si>
    <t>Q11</t>
  </si>
  <si>
    <t>Sequence labeling nằm ở đâu trong hệ thống khi dùng LLM?</t>
  </si>
  <si>
    <t>K2, K6</t>
  </si>
  <si>
    <t>Q12</t>
  </si>
  <si>
    <t>Vì sao không fine-tune PhoBERT?</t>
  </si>
  <si>
    <t>Timeline 4 tuần — ngày tự tính từ ngày bắt đầu</t>
  </si>
  <si>
    <t>Sửa ô C3 (ngày bắt đầu Tuần 1) theo lịch nhóm; cột Ngày BĐ/KT tự tính. Cột Trạng thái chọn từ danh sách.</t>
  </si>
  <si>
    <t>Ngày bắt đầu Tuần 1:</t>
  </si>
  <si>
    <t>Tiến độ:</t>
  </si>
  <si>
    <t>ID</t>
  </si>
  <si>
    <t>Hạng mục</t>
  </si>
  <si>
    <t>Công việc</t>
  </si>
  <si>
    <t>Tuần BĐ</t>
  </si>
  <si>
    <t>Tuần KT</t>
  </si>
  <si>
    <t>Ngày BĐ</t>
  </si>
  <si>
    <t>Ngày KT</t>
  </si>
  <si>
    <t>Sản phẩm đầu ra</t>
  </si>
  <si>
    <t>Phụ thuộc</t>
  </si>
  <si>
    <t>Trạng thái</t>
  </si>
  <si>
    <t>T01</t>
  </si>
  <si>
    <t>Khởi động</t>
  </si>
  <si>
    <t>Kick-off: đọc proposal, chốt schema (02_Schema) &amp; quy ước</t>
  </si>
  <si>
    <t>Cả nhóm</t>
  </si>
  <si>
    <t>Schema v1</t>
  </si>
  <si>
    <t>Chưa bắt đầu</t>
  </si>
  <si>
    <t>T02</t>
  </si>
  <si>
    <t>Spike Gemini: kiểm tra free tier, structured output, hạn mức trong AI Studio</t>
  </si>
  <si>
    <t>Ghi chú kết quả spike</t>
  </si>
  <si>
    <t>T03</t>
  </si>
  <si>
    <t>Thu 60–100 bài công khai từ group BĐS, ẩn SĐT/tên</t>
  </si>
  <si>
    <t>posts_raw (ẩn danh)</t>
  </si>
  <si>
    <t>T04</t>
  </si>
  <si>
    <t>Viết annotation guideline v1 (BIO + quy ước chuẩn hoá)</t>
  </si>
  <si>
    <t>TV4 + TV1</t>
  </si>
  <si>
    <t>guideline.md</t>
  </si>
  <si>
    <t>T05</t>
  </si>
  <si>
    <t>NLP</t>
  </si>
  <si>
    <t>Regex v0: giá / DT / phòng + test đơn vị</t>
  </si>
  <si>
    <t>extractors/regex.py</t>
  </si>
  <si>
    <t>T06</t>
  </si>
  <si>
    <t>Backend</t>
  </si>
  <si>
    <t>Khung FastAPI + SQLite + endpoint /extract giả</t>
  </si>
  <si>
    <t>API skeleton</t>
  </si>
  <si>
    <t>T07</t>
  </si>
  <si>
    <t>UI</t>
  </si>
  <si>
    <t>Chốt hướng thiết kế (design-web): token màu thực thể, font, wireframe 6 màn</t>
  </si>
  <si>
    <t>Design record + wireframe</t>
  </si>
  <si>
    <t>T08</t>
  </si>
  <si>
    <t>Khung Next.js + layout + gọi API giả</t>
  </si>
  <si>
    <t>App skeleton</t>
  </si>
  <si>
    <t>T09</t>
  </si>
  <si>
    <t>Kiến thức</t>
  </si>
  <si>
    <t>Tự học SLP3: sequence labeling, HMM/Viterbi, CRF; chia slide lý thuyết</t>
  </si>
  <si>
    <t>TV1 + TV4</t>
  </si>
  <si>
    <t>Slide lý thuyết nháp</t>
  </si>
  <si>
    <t>T10</t>
  </si>
  <si>
    <t>Gán nhãn gold: chọn 10 bài test theo taxonomy + dev; gán chéo 20 bài</t>
  </si>
  <si>
    <t>gold_test, gold_dev</t>
  </si>
  <si>
    <t>T03, T04</t>
  </si>
  <si>
    <t>T11</t>
  </si>
  <si>
    <t>Regex v1 + normalizer tiền / m² / phòng</t>
  </si>
  <si>
    <t>normalize.py + 30 ca test</t>
  </si>
  <si>
    <t>T12</t>
  </si>
  <si>
    <t>Tầng 0: phân loại bài (luật + LLM dự phòng)</t>
  </si>
  <si>
    <t>classifier.py</t>
  </si>
  <si>
    <t>T13</t>
  </si>
  <si>
    <t>LLM extractor: few-shot + schema + neo span (tính offset, loại span không tìm thấy)</t>
  </si>
  <si>
    <t>extractors/llm.py</t>
  </si>
  <si>
    <t>T14</t>
  </si>
  <si>
    <t>Chuẩn hoá địa chỉ 63→34 tỉnh (vietnamadminunits + fuzzy)</t>
  </si>
  <si>
    <t>location.py</t>
  </si>
  <si>
    <t>T15</t>
  </si>
  <si>
    <t>S1 Nhập bài + S2 Trích xuất (bôi màu span, badge, BIO toggle)</t>
  </si>
  <si>
    <t>2 màn chạy với API thật</t>
  </si>
  <si>
    <t>T16</t>
  </si>
  <si>
    <t>Validator / reconciler + confidence + luật sanity</t>
  </si>
  <si>
    <t>TV2 + TV1</t>
  </si>
  <si>
    <t>validator.py</t>
  </si>
  <si>
    <t>T11, T13</t>
  </si>
  <si>
    <t>T17</t>
  </si>
  <si>
    <t>Script đánh giá: seqeval strict/partial, exact-match, null acc, chi phí</t>
  </si>
  <si>
    <t>eval.py</t>
  </si>
  <si>
    <t>T18</t>
  </si>
  <si>
    <t>Tinh chỉnh regex/prompt CHỈ trên dev (không đụng test)</t>
  </si>
  <si>
    <t>Bảng metric dev</t>
  </si>
  <si>
    <t>T19</t>
  </si>
  <si>
    <t>S3 So sánh + S4 Bảng dữ liệu + S5 Dashboard đánh giá</t>
  </si>
  <si>
    <t>3 màn hoàn chỉnh</t>
  </si>
  <si>
    <t>T20</t>
  </si>
  <si>
    <t>Phân tích lỗi v1 theo taxonomy (dev)</t>
  </si>
  <si>
    <t>error_analysis.md</t>
  </si>
  <si>
    <t>T21</t>
  </si>
  <si>
    <t>ĐÓNG BĂNG hệ thống → chạy test 1 lần → điền 06_DanhGia</t>
  </si>
  <si>
    <t>Kết quả test</t>
  </si>
  <si>
    <t>T16, T18</t>
  </si>
  <si>
    <t>T22</t>
  </si>
  <si>
    <t>S6 HITL (Should) + hoàn thiện, a11y, responsive, chế độ offline</t>
  </si>
  <si>
    <t>UI bản cuối</t>
  </si>
  <si>
    <t>T23</t>
  </si>
  <si>
    <t>Xuất Excel/CSV + cache kết quả cho demo</t>
  </si>
  <si>
    <t>/export</t>
  </si>
  <si>
    <t>T24</t>
  </si>
  <si>
    <t>Báo cáo</t>
  </si>
  <si>
    <t>Báo cáo + slide + kịch bản demo + video dự phòng (TV4 điều phối)</t>
  </si>
  <si>
    <t>Báo cáo, slide, video</t>
  </si>
  <si>
    <t>T25</t>
  </si>
  <si>
    <t>Diễn tập vấn đáp (07_KienThuc)</t>
  </si>
  <si>
    <t>Buổi tập</t>
  </si>
  <si>
    <t>Phân công 4 thành viên</t>
  </si>
  <si>
    <t>Điền tên vào cột B (vàng). Cột 'Số việc' tự đếm từ 08_KeHoach (tính cả việc chung 'Cả nhóm').</t>
  </si>
  <si>
    <t>Tên thành viên</t>
  </si>
  <si>
    <t>Trách nhiệm chính</t>
  </si>
  <si>
    <t>Kỹ năng cần</t>
  </si>
  <si>
    <t>Module sở hữu</t>
  </si>
  <si>
    <t>Khối kiến thức vấn đáp</t>
  </si>
  <si>
    <t>Số việc</t>
  </si>
  <si>
    <t>Regex extractor, normalizer, Tầng 0, tiền xử lý + offset map; slide lý thuyết BIO/HMM</t>
  </si>
  <si>
    <t>Python, regex, tư duy NLP</t>
  </si>
  <si>
    <t>M1, M2, M3a, M4</t>
  </si>
  <si>
    <t>K1, K2, K3</t>
  </si>
  <si>
    <t>Gemini extractor + neo span, validator, chuẩn hoá địa chỉ, FastAPI, SQLite, xuất Excel</t>
  </si>
  <si>
    <t>Python, FastAPI, gọi API LLM</t>
  </si>
  <si>
    <t>M0, M3b, M5, M6, M9</t>
  </si>
  <si>
    <t>K6, K7, K8</t>
  </si>
  <si>
    <t>Hướng thiết kế, Next.js, 6 màn hình, a11y, chế độ demo offline</t>
  </si>
  <si>
    <t>React/Next.js, TypeScript, CSS</t>
  </si>
  <si>
    <t>M8 (S1–S7)</t>
  </si>
  <si>
    <t>Trình bày demo</t>
  </si>
  <si>
    <t>Thu thập + ẩn danh, guideline, gold set, script đánh giá, phân tích lỗi, điều phối báo cáo/slide</t>
  </si>
  <si>
    <t>Tỉ mỉ, Python cơ bản, viết báo cáo</t>
  </si>
  <si>
    <t>M7 + dữ liệu</t>
  </si>
  <si>
    <t>K4, K5, K9</t>
  </si>
  <si>
    <t>Vai trò:</t>
  </si>
  <si>
    <t>NLP Lead — Regex &amp; chuẩn hoá</t>
  </si>
  <si>
    <t>LLM &amp; Backend Lead</t>
  </si>
  <si>
    <t>Frontend / UI Lead</t>
  </si>
  <si>
    <t>Data &amp; Evaluation Lead</t>
  </si>
  <si>
    <t>Sổ rủi ro</t>
  </si>
  <si>
    <t>Khả năng &amp; tác động thang 1–3 (ô vàng, nhóm cập nhật). Điểm = khả năng × tác động; ≥6 Cao, 3–5 Trung bình, ≤2 Thấp.</t>
  </si>
  <si>
    <t>Rủi ro</t>
  </si>
  <si>
    <t>Khả năng (1–3)</t>
  </si>
  <si>
    <t>Tác động (1–3)</t>
  </si>
  <si>
    <t>Điểm</t>
  </si>
  <si>
    <t>Giảm thiểu</t>
  </si>
  <si>
    <t>Free tier Gemini không hỗ trợ structured output hoặc hết quota</t>
  </si>
  <si>
    <t>Spike ngày 1; fallback prompt JSON + Pydantic + retry; regex luôn chạy; cache kết quả</t>
  </si>
  <si>
    <t>Thu thập dữ liệu Facebook vi phạm ToS / lộ dữ liệu cá nhân</t>
  </si>
  <si>
    <t>Chỉ chép tay bài công khai, ẩn SĐT/tên khi nhập, không scrape; nêu rõ trong báo cáo</t>
  </si>
  <si>
    <t>LLM bịa giá trị không có trong bài</t>
  </si>
  <si>
    <t>Neo span bắt buộc, loại span không tìm thấy, đo null accuracy</t>
  </si>
  <si>
    <t>R4</t>
  </si>
  <si>
    <t>Rò rỉ dữ liệu: tinh chỉnh trên 10 bài test</t>
  </si>
  <si>
    <t>Tách file test ngay tuần 1; chỉ TV4 giữ; chạy test 1 lần</t>
  </si>
  <si>
    <t>R5</t>
  </si>
  <si>
    <t>UI ngốn thời gian, phần NLP mỏng</t>
  </si>
  <si>
    <t>Must/Should/Could; UI dựng trên kết quả thật từ tuần 2</t>
  </si>
  <si>
    <t>R6</t>
  </si>
  <si>
    <t>Địa chỉ cũ/mới nhập nhằng, mapping sai</t>
  </si>
  <si>
    <t>Lưu raw + legacy + new; hiện cờ 'cần xem' khi độ tin cậy thấp</t>
  </si>
  <si>
    <t>R7</t>
  </si>
  <si>
    <t>Gán nhãn không nhất quán giữa người gán</t>
  </si>
  <si>
    <t>Guideline có ví dụ; gán chéo 20 bài; họp thống nhất</t>
  </si>
  <si>
    <t>R8</t>
  </si>
  <si>
    <t>Mất mạng / API lỗi lúc demo</t>
  </si>
  <si>
    <t>Chế độ offline + video dự phòng</t>
  </si>
  <si>
    <t>R9</t>
  </si>
  <si>
    <t>Thành viên chưa quen React/Next.js</t>
  </si>
  <si>
    <t>TV3 dựng khung + component dùng chung sớm; người khác chỉ ghép dữ liệu</t>
  </si>
  <si>
    <t>Nguồn tham khảo (ưu tiên uy tín &amp; mới nhất)</t>
  </si>
  <si>
    <t>Hạng: A = bình duyệt (hội nghị/tạp chí) · B = preprint · C = tài liệu/thư viện chính thức · D = báo chí/tư vấn · E = giáo trình/kinh điển. Mục E: metadata theo hiểu biết chung — kiểm DOI trước khi đưa vào báo cáo nộp.</t>
  </si>
  <si>
    <t>#</t>
  </si>
  <si>
    <t>Tiêu đề</t>
  </si>
  <si>
    <t>Tác giả</t>
  </si>
  <si>
    <t>Năm</t>
  </si>
  <si>
    <t>Venue / loại</t>
  </si>
  <si>
    <t>Hạng</t>
  </si>
  <si>
    <t>Mức kiểm chứng</t>
  </si>
  <si>
    <t>Dùng cho phần nào</t>
  </si>
  <si>
    <t>Ý chính</t>
  </si>
  <si>
    <t>Link</t>
  </si>
  <si>
    <t>Named Entity Recognition for Vietnamese Real Estate Advertisements</t>
  </si>
  <si>
    <t>Huynh S., Le K., Dang N., … Nguyen T.T., Ho N.Y.T.</t>
  </si>
  <si>
    <t>NICS 2021 (IEEE), tr. 23–28</t>
  </si>
  <si>
    <t>A</t>
  </si>
  <si>
    <t>Metadata Crossref + abstract</t>
  </si>
  <si>
    <t>Liên quan trực tiếp nhất</t>
  </si>
  <si>
    <t>Bộ NER BĐS tiếng Việt đầu tiên: 3 152 tin từ propzy, nhadat247, batdongsan</t>
  </si>
  <si>
    <t>https://doi.org/10.1109/NICS54270.2021.9701519</t>
  </si>
  <si>
    <t>An End-to-End NER Platform for Vietnamese Real Estate Advertisement Posts and Analytical Applications</t>
  </si>
  <si>
    <t>Nguyen B.T., Doan T.T.N., Huynh S.T., … Huynh D.T.</t>
  </si>
  <si>
    <t>IEEE Access 10:87681–87697</t>
  </si>
  <si>
    <t>Kiến trúc + phần sản phẩm</t>
  </si>
  <si>
    <t>Pipeline thu thập → NER → kho dữ liệu → phân tích; MishWindowEncoder micro-F1 90.72%</t>
  </si>
  <si>
    <t>https://doi.org/10.1109/ACCESS.2022.3195496</t>
  </si>
  <si>
    <t>SEND: A Simple and Efficient Noise Detection Algorithm for Vietnamese Real Estate Posts (ViND)</t>
  </si>
  <si>
    <t>Tran K.Q., Le A.T.H., … Nguyen T.T.</t>
  </si>
  <si>
    <t>PACLIC 36, tr. 647–656</t>
  </si>
  <si>
    <t>Đọc full-text PDF</t>
  </si>
  <si>
    <t>Lý do có Tầng 0</t>
  </si>
  <si>
    <t>12 862 bài, 5 website, ≈18% nhiễu; PhoBERT-large macro-F1 0.9024; lọc nhiễu giúp NER +0.0239 F1</t>
  </si>
  <si>
    <t>https://aclanthology.org/2022.paclic-1.71/</t>
  </si>
  <si>
    <t>Information Extraction for Vietnamese Real Estate Advertisements</t>
  </si>
  <si>
    <t>Pham L.V., Pham S.B.</t>
  </si>
  <si>
    <t>KSE 2012, tr. 181–186</t>
  </si>
  <si>
    <t>Metadata Crossref</t>
  </si>
  <si>
    <t>Baseline rule-based lịch sử</t>
  </si>
  <si>
    <t>Hệ IE dựa luật cho tin rao BĐS tiếng Việt, F-measure 91</t>
  </si>
  <si>
    <t>https://doi.org/10.1109/KSE.2012.27</t>
  </si>
  <si>
    <t>Fake Advertisements Detection Using Automated Multimodal Learning: Vietnamese Real Estate</t>
  </si>
  <si>
    <t>Nguyen D., Nguyen T.T., Nguyen C.V.</t>
  </si>
  <si>
    <t>arXiv preprint</t>
  </si>
  <si>
    <t>B</t>
  </si>
  <si>
    <t>Abstract</t>
  </si>
  <si>
    <t>Hướng mở rộng</t>
  </si>
  <si>
    <t>FADAML đạt 91.5% accuracy phát hiện tin giả</t>
  </si>
  <si>
    <t>https://arxiv.org/abs/2501.10848</t>
  </si>
  <si>
    <t>PhoBERT: Pre-trained language models for Vietnamese</t>
  </si>
  <si>
    <t>Nguyen D.Q., Nguyen A.T.</t>
  </si>
  <si>
    <t>Findings of EMNLP 2020</t>
  </si>
  <si>
    <t>ACL Anthology</t>
  </si>
  <si>
    <t>Future work</t>
  </si>
  <si>
    <t>Encoder tiếng Việt, SOTA NER tiếng Việt thời điểm công bố</t>
  </si>
  <si>
    <t>https://aclanthology.org/2020.findings-emnlp.92/</t>
  </si>
  <si>
    <t>COVID-19 Named Entity Recognition for Vietnamese (PhoNER_COVID19)</t>
  </si>
  <si>
    <t>Truong T.H., Dao M.H., Nguyen D.Q.</t>
  </si>
  <si>
    <t>NAACL 2021</t>
  </si>
  <si>
    <t>arXiv</t>
  </si>
  <si>
    <t>Mẫu guideline gán nhãn</t>
  </si>
  <si>
    <t>PhoBERT-large 94.5 micro-F1</t>
  </si>
  <si>
    <t>https://arxiv.org/abs/2104.03879</t>
  </si>
  <si>
    <t>ViLexNorm: A Lexical Normalization Corpus for Vietnamese Social Media Text</t>
  </si>
  <si>
    <t>Nguyen T.N., Le T.P., Nguyen K.</t>
  </si>
  <si>
    <t>EACL 2024</t>
  </si>
  <si>
    <t>Tiền xử lý teencode</t>
  </si>
  <si>
    <t>&gt;10 000 cặp câu; ERR 57.74%; chuẩn hoá giúp task hạ nguồn</t>
  </si>
  <si>
    <t>https://aclanthology.org/2024.eacl-long.85</t>
  </si>
  <si>
    <t>PAP_NER: Vietnamese administrative NER corpus</t>
  </si>
  <si>
    <t>(xem bài)</t>
  </si>
  <si>
    <t>n/a</t>
  </si>
  <si>
    <t>PLOS ONE</t>
  </si>
  <si>
    <t>Kết quả tìm kiếm — năm chưa xác minh</t>
  </si>
  <si>
    <t>So sánh encoder</t>
  </si>
  <si>
    <t>PhoBERT vượt XLM-R +2.08 F1 dù nhỏ hơn một nửa</t>
  </si>
  <si>
    <t>https://journals.plos.org/plosone/article?id=10.1371%2Fjournal.pone.0353166</t>
  </si>
  <si>
    <t>VMLU Benchmarks: benchmark toolkit for Vietnamese LLMs</t>
  </si>
  <si>
    <t>(nhóm tác giả VMLU)</t>
  </si>
  <si>
    <t>ACL 2025</t>
  </si>
  <si>
    <t>Chọn LLM</t>
  </si>
  <si>
    <t>Benchmark LLM tiếng Việt (Llama-3, Qwen2.5, GPT-4)</t>
  </si>
  <si>
    <t>https://aclanthology.org/2025.acl-long.563</t>
  </si>
  <si>
    <t>Large Language Models for Generative Information Extraction: A Survey</t>
  </si>
  <si>
    <t>Xu D., Chen W., … Chen E.</t>
  </si>
  <si>
    <t>Frontiers of Computer Science 18(6)</t>
  </si>
  <si>
    <t>DOI</t>
  </si>
  <si>
    <t>Related work LLM-IE</t>
  </si>
  <si>
    <t>Phân loại kỹ thuật LLM cho IE</t>
  </si>
  <si>
    <t>https://doi.org/10.1007/s11704-024-40555-y</t>
  </si>
  <si>
    <t>UniversalNER: Targeted Distillation from LLMs for Open NER</t>
  </si>
  <si>
    <t>Zhou W., Zhang S., Gu Y., Chen M., Poon H.</t>
  </si>
  <si>
    <t>ICLR 2024</t>
  </si>
  <si>
    <t>Proceedings</t>
  </si>
  <si>
    <t>Ý tưởng LLM gán nhãn → model nhỏ</t>
  </si>
  <si>
    <t>43 bộ dữ liệu, 9 miền; vượt ChatGPT 7–9 F1</t>
  </si>
  <si>
    <t>https://arxiv.org/abs/2308.03279</t>
  </si>
  <si>
    <t>GLiNER: Generalist Model for NER using Bidirectional Transformer</t>
  </si>
  <si>
    <t>Zaratiana U., et al.</t>
  </si>
  <si>
    <t>NAACL 2024</t>
  </si>
  <si>
    <t>Phương án AI nhẹ</t>
  </si>
  <si>
    <t>Zero-shot NER bằng encoder nhỏ</t>
  </si>
  <si>
    <t>https://aclanthology.org/2024.naacl-long.300</t>
  </si>
  <si>
    <t>GLiNER2: Efficient Multi-Task IE System with Schema-Driven Interface</t>
  </si>
  <si>
    <t>Zaratiana U., Pasternak G., Boyd O., Hurn-Maloney G., Lewis A.</t>
  </si>
  <si>
    <t>EMNLP 2025 System Demos</t>
  </si>
  <si>
    <t>Phương án AI nhẹ (chưa thử tiếng Việt)</t>
  </si>
  <si>
    <t>&lt;500M tham số, chạy CPU, trích xuất theo schema</t>
  </si>
  <si>
    <t>https://arxiv.org/abs/2507.18546</t>
  </si>
  <si>
    <t>LangExtract (Google)</t>
  </si>
  <si>
    <t>Google</t>
  </si>
  <si>
    <t>Thư viện mã nguồn mở, Apache-2.0, v1.6.0</t>
  </si>
  <si>
    <t>C</t>
  </si>
  <si>
    <t>README GitHub</t>
  </si>
  <si>
    <t>M3b + ý tưởng UI</t>
  </si>
  <si>
    <t>Trích xuất few-shot, neo vị trí trong văn bản gốc, sinh HTML bôi màu</t>
  </si>
  <si>
    <t>https://github.com/google/langextract</t>
  </si>
  <si>
    <t>JSONSchemaBench: Benchmark of Structured Outputs for LMs</t>
  </si>
  <si>
    <t>Geng S., et al.</t>
  </si>
  <si>
    <t>ICML 2025</t>
  </si>
  <si>
    <t>Thiết kế schema</t>
  </si>
  <si>
    <t>Constrained decoding gãy với schema phức tạp → giữ schema phẳng + validate</t>
  </si>
  <si>
    <t>https://arxiv.org/abs/2501.10868</t>
  </si>
  <si>
    <t>Gemini API — Structured output</t>
  </si>
  <si>
    <t>Tài liệu chính thức (cập nhật 2026-09-23)</t>
  </si>
  <si>
    <t>Docs chính thức</t>
  </si>
  <si>
    <t>JSON schema/Pydantic; free tier có hỗ trợ không thì tài liệu không nói rõ → spike</t>
  </si>
  <si>
    <t>https://ai.google.dev/gemini-api/docs/structured-output</t>
  </si>
  <si>
    <t>Gemini API — Rate limits</t>
  </si>
  <si>
    <t>Tài liệu chính thức (cập nhật 2026-09-02)</t>
  </si>
  <si>
    <t>Kế hoạch quota</t>
  </si>
  <si>
    <t>Hạn mức theo tier, xem trong AI Studio</t>
  </si>
  <si>
    <t>https://ai.google.dev/gemini-api/docs/rate-limits</t>
  </si>
  <si>
    <t>Incorporating LLMs in Automated Real Estate Valuation</t>
  </si>
  <si>
    <t>Journal of Real Estate Research</t>
  </si>
  <si>
    <t>Kết quả tìm kiếm</t>
  </si>
  <si>
    <t>Bằng chứng giá trị ứng dụng</t>
  </si>
  <si>
    <t>LLM trích đặc trưng từ mô tả nhà, 9 842 giao dịch Oslo</t>
  </si>
  <si>
    <t>https://doi.org/10.1080/08965803.2025.2587313</t>
  </si>
  <si>
    <t>Feature Extraction for Real Estate Images and Titles with LLMs</t>
  </si>
  <si>
    <t>SAUCIS</t>
  </si>
  <si>
    <t>Related work quốc tế</t>
  </si>
  <si>
    <t>Recall thuộc tính tăng tới 44.26%</t>
  </si>
  <si>
    <t>https://dergipark.org.tr/en/pub/saucis/article/1829206</t>
  </si>
  <si>
    <t>Attribute-Value Extraction: The case of a Real Estate Observatory</t>
  </si>
  <si>
    <t>JAIIO (Argentina)</t>
  </si>
  <si>
    <t>So sánh các cách attribute-value extraction trên mô tả BĐS</t>
  </si>
  <si>
    <t>https://revistas.unlp.edu.ar/JAIIO/article/view/17910</t>
  </si>
  <si>
    <t>Structured Data Extraction from Real Estate Documents using Clustering, Classification, and LLMs</t>
  </si>
  <si>
    <t>Shehbaz M.A., Moreno-García C.F.</t>
  </si>
  <si>
    <t>Mới nhất tìm được</t>
  </si>
  <si>
    <t>DeepSeek R1, 35 thuộc tính, 2 766 bản ghi hợp lệ</t>
  </si>
  <si>
    <t>https://arxiv.org/abs/2607.06012</t>
  </si>
  <si>
    <t>Real Estate Attribute Value Extraction Using LLMs (RAVE)</t>
  </si>
  <si>
    <t>(chưa truy cập được)</t>
  </si>
  <si>
    <t>(chưa rõ)</t>
  </si>
  <si>
    <t>Chỉ có tiêu đề</t>
  </si>
  <si>
    <t>Tham khảo nếu truy cập được</t>
  </si>
  <si>
    <t>Tin rao Slovakia dịch sang tiếng Anh</t>
  </si>
  <si>
    <t>https://www.researchgate.net/publication/391167717</t>
  </si>
  <si>
    <t>STRUCTSENSE: Structured IE with Human-in-the-Loop</t>
  </si>
  <si>
    <t>Màn S6 HITL</t>
  </si>
  <si>
    <t>Người trong vòng lặp tăng độ tin cậy trích xuất bằng LLM</t>
  </si>
  <si>
    <t>https://arxiv.org/abs/2507.03674</t>
  </si>
  <si>
    <t>Graph API v19.0 changelog — Groups API deprecation</t>
  </si>
  <si>
    <t>Meta</t>
  </si>
  <si>
    <t>Tài liệu chính thức</t>
  </si>
  <si>
    <t>Lý do không có bot đọc group</t>
  </si>
  <si>
    <t>Công bố 23/01/2024, gỡ 22/04/2024</t>
  </si>
  <si>
    <t>https://developers.facebook.com/docs/graph-api/changelog/version19.0/</t>
  </si>
  <si>
    <t>CrowdTangle shutdown → Meta Content Library</t>
  </si>
  <si>
    <t>The Register</t>
  </si>
  <si>
    <t>Báo chí</t>
  </si>
  <si>
    <t>D</t>
  </si>
  <si>
    <t>Bối cảnh dữ liệu</t>
  </si>
  <si>
    <t>Đóng 14/08/2024; thay thế chỉ cho học thuật/phi lợi nhuận</t>
  </si>
  <si>
    <t>https://www.theregister.com/2024/06/18/metas_decision_to_withdraw_misinformation/</t>
  </si>
  <si>
    <t>Luật Bảo vệ dữ liệu cá nhân 91/2025/QH15</t>
  </si>
  <si>
    <t>Quốc hội</t>
  </si>
  <si>
    <t>Văn bản luật</t>
  </si>
  <si>
    <t>Ẩn danh dữ liệu</t>
  </si>
  <si>
    <t>Thông qua 26/06/2025, hiệu lực 01/01/2026</t>
  </si>
  <si>
    <t>https://thuvienphapluat.vn/van-ban/Bo-may-hanh-chinh/Law-91-2025-QH15-Personal-Data-Protection-665440.aspx</t>
  </si>
  <si>
    <t>Snapshot on Vietnam's administrative reform 2025</t>
  </si>
  <si>
    <t>PwC Việt Nam</t>
  </si>
  <si>
    <t>Báo cáo tư vấn</t>
  </si>
  <si>
    <t>Trường Vị trí</t>
  </si>
  <si>
    <t>63 → 34 tỉnh, bỏ cấp huyện, hiệu lực 01/07/2025</t>
  </si>
  <si>
    <t>https://www.pwc.com/vn/en/publications/vietnam-publications/vietnam-administrative-reform.html</t>
  </si>
  <si>
    <t>Tran Ngoc Minh Hieu</t>
  </si>
  <si>
    <t>Thư viện Python</t>
  </si>
  <si>
    <t>README</t>
  </si>
  <si>
    <t>M4 địa chỉ</t>
  </si>
  <si>
    <t>Bộ 63 tỉnh, 34 tỉnh + mapping 63→34</t>
  </si>
  <si>
    <t>https://github.com/tranngocminhhieu/vietnamadminunits</t>
  </si>
  <si>
    <t>vietnam-address-converter</t>
  </si>
  <si>
    <t>trng28</t>
  </si>
  <si>
    <t>PyPI</t>
  </si>
  <si>
    <t>M4 địa chỉ (dự phòng)</t>
  </si>
  <si>
    <t>Chuyển địa chỉ 3 cấp cũ → 2 cấp mới</t>
  </si>
  <si>
    <t>https://pypi.org/project/vietnam-address-converter/</t>
  </si>
  <si>
    <t>Speech and Language Processing (3rd ed. draft)</t>
  </si>
  <si>
    <t>Jurafsky D., Martin J.H.</t>
  </si>
  <si>
    <t>Giáo trình (bản nháp online)</t>
  </si>
  <si>
    <t>E</t>
  </si>
  <si>
    <t>Kinh điển</t>
  </si>
  <si>
    <t>K1–K5, K9</t>
  </si>
  <si>
    <t>Chương Sequence Labeling for POS and NE; Regex; IE</t>
  </si>
  <si>
    <t>https://web.stanford.edu/~jurafsky/slp3/</t>
  </si>
  <si>
    <t>A tutorial on hidden Markov models and selected applications in speech recognition</t>
  </si>
  <si>
    <t>Rabiner L.R.</t>
  </si>
  <si>
    <t>Proceedings of the IEEE 77(2)</t>
  </si>
  <si>
    <t>HMM, Viterbi</t>
  </si>
  <si>
    <t>https://doi.org/10.1109/5.18626</t>
  </si>
  <si>
    <t>Conditional Random Fields: Probabilistic Models for Segmenting and Labeling Sequence Data</t>
  </si>
  <si>
    <t>Lafferty J., McCallum A., Pereira F.</t>
  </si>
  <si>
    <t>ICML 2001</t>
  </si>
  <si>
    <t>Bài gốc về CRF</t>
  </si>
  <si>
    <t>Text Chunking using Transformation-Based Learning</t>
  </si>
  <si>
    <t>Ramshaw L., Marcus M.</t>
  </si>
  <si>
    <t>3rd Workshop on Very Large Corpora</t>
  </si>
  <si>
    <t>Nguồn gốc lược đồ IOB</t>
  </si>
  <si>
    <t>https://aclanthology.org/W95-0107/</t>
  </si>
  <si>
    <t>Introduction to the CoNLL-2003 Shared Task: Language-Independent NER</t>
  </si>
  <si>
    <t>Tjong Kim Sang E.F., De Meulder F.</t>
  </si>
  <si>
    <t>CoNLL 2003</t>
  </si>
  <si>
    <t>Chuẩn đánh giá F1 mức thực thể</t>
  </si>
  <si>
    <t>https://aclanthology.org/W03-0419/</t>
  </si>
  <si>
    <t>Neural Architectures for Named Entity Recognition (BiLSTM-CRF)</t>
  </si>
  <si>
    <t>Lample G., et al.</t>
  </si>
  <si>
    <t>NAACL 2016</t>
  </si>
  <si>
    <t>BiLSTM-CRF cho NER</t>
  </si>
  <si>
    <t>https://aclanthology.org/N16-1030/</t>
  </si>
  <si>
    <t>seqeval</t>
  </si>
  <si>
    <t>chakki-works</t>
  </si>
  <si>
    <t>Phổ biến</t>
  </si>
  <si>
    <t>Tính P/R/F1 mức span theo IOB</t>
  </si>
  <si>
    <t>https://github.com/chakki-works/seqeval</t>
  </si>
  <si>
    <t>Label Studio</t>
  </si>
  <si>
    <t>HumanSignal</t>
  </si>
  <si>
    <t>Công cụ gán nhãn mã nguồn mở</t>
  </si>
  <si>
    <t>Gán nhãn gold</t>
  </si>
  <si>
    <t>Gán nhãn span cho NER</t>
  </si>
  <si>
    <t>https://labelstud.io/</t>
  </si>
  <si>
    <t>Đã loại: blog dev.to đưa số liệu chi phí regex vs LLM (68% / 96% / 98%) — không phải nguồn uy tín, không dùng.</t>
  </si>
  <si>
    <t>Thống kê theo hạng (tự đếm)</t>
  </si>
  <si>
    <t>Thuật ngữ (Glossary)</t>
  </si>
  <si>
    <t>English</t>
  </si>
  <si>
    <t>Tiếng Việt</t>
  </si>
  <si>
    <t>Giải thích ngắn</t>
  </si>
  <si>
    <t>Sequence labeling</t>
  </si>
  <si>
    <t>Gán một nhãn cho từng token trong câu</t>
  </si>
  <si>
    <t>BIO / IOB2 tagging</t>
  </si>
  <si>
    <t>Gán nhãn BIO</t>
  </si>
  <si>
    <t>B = bắt đầu thực thể, I = bên trong, O = ngoài</t>
  </si>
  <si>
    <t>Named Entity Recognition (NER)</t>
  </si>
  <si>
    <t>Nhận dạng thực thể có tên</t>
  </si>
  <si>
    <t>Tìm và phân loại span thực thể</t>
  </si>
  <si>
    <t>Slot filling</t>
  </si>
  <si>
    <t>Điền khe thông tin</t>
  </si>
  <si>
    <t>Trích giá trị cho các 'khe' định sẵn (giá, DT…), tên gọi trong hệ hội thoại</t>
  </si>
  <si>
    <t>Hidden Markov Model (HMM)</t>
  </si>
  <si>
    <t>Mô hình Markov ẩn</t>
  </si>
  <si>
    <t>Mô hình sinh: xác suất chuyển trạng thái + phát xạ; giải mã bằng Viterbi</t>
  </si>
  <si>
    <t>Conditional Random Field (CRF)</t>
  </si>
  <si>
    <t>Trường ngẫu nhiên có điều kiện</t>
  </si>
  <si>
    <t>Mô hình phân biệt cho chuỗi, dùng feature tuỳ ý trên toàn câu</t>
  </si>
  <si>
    <t>Viterbi algorithm</t>
  </si>
  <si>
    <t>Thuật toán Viterbi</t>
  </si>
  <si>
    <t>Quy hoạch động tìm chuỗi nhãn có xác suất cao nhất</t>
  </si>
  <si>
    <t>Value normalization</t>
  </si>
  <si>
    <t>Đưa chuỗi thô về giá trị chuẩn ('5ty2' → 5 200 000 000)</t>
  </si>
  <si>
    <t>Lexical normalization</t>
  </si>
  <si>
    <t>Chuẩn hoá từ vựng</t>
  </si>
  <si>
    <t>Đổi teencode/viết tắt về dạng chuẩn</t>
  </si>
  <si>
    <t>Source grounding</t>
  </si>
  <si>
    <t>Neo nguồn</t>
  </si>
  <si>
    <t>Mỗi giá trị trích ra gắn với vị trí chính xác trong văn bản gốc</t>
  </si>
  <si>
    <t>Structured output / constrained decoding</t>
  </si>
  <si>
    <t>Đầu ra có cấu trúc / giải mã ràng buộc</t>
  </si>
  <si>
    <t>Ép LLM sinh đúng JSON theo schema</t>
  </si>
  <si>
    <t>Hallucination</t>
  </si>
  <si>
    <t>Ảo giác (bịa)</t>
  </si>
  <si>
    <t>LLM sinh giá trị không có trong văn bản</t>
  </si>
  <si>
    <t>Human-in-the-loop (HITL)</t>
  </si>
  <si>
    <t>Có người trong vòng lặp</t>
  </si>
  <si>
    <t>Người sửa kết quả máy, bản sửa thành dữ liệu gold</t>
  </si>
  <si>
    <t>Tập chuẩn vàng</t>
  </si>
  <si>
    <t>Dữ liệu gán nhãn thủ công dùng để đánh giá</t>
  </si>
  <si>
    <t>Data leakage</t>
  </si>
  <si>
    <t>Rò rỉ dữ liệu</t>
  </si>
  <si>
    <t>Tinh chỉnh trên chính tập test → kết quả ảo</t>
  </si>
  <si>
    <t>Strict / partial match</t>
  </si>
  <si>
    <t>Khớp chặt / khớp một phần</t>
  </si>
  <si>
    <t>Span phải trùng hoàn toàn / chỉ cần chồng lấn</t>
  </si>
  <si>
    <t>Gazetteer</t>
  </si>
  <si>
    <t>Từ điển địa danh</t>
  </si>
  <si>
    <t>Danh sách tên địa danh/dự án để đối chiếu</t>
  </si>
  <si>
    <t>Edit distance (Levenshtein)</t>
  </si>
  <si>
    <t>Khoảng cách chỉnh sửa</t>
  </si>
  <si>
    <t>Số thao tác chèn/xoá/thay tối thiểu giữa 2 chuỗi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</si>
</sst>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4"/>
      <color rgb="FF1F3A5F"/>
      <name val="Arial"/>
    </font>
    <font>
      <i/>
      <sz val="9"/>
      <color rgb="FF595959"/>
      <name val="Arial"/>
    </font>
    <font>
      <b/>
      <sz val="10"/>
      <color rgb="FFFFFFFF"/>
      <name val="Arial"/>
    </font>
    <font>
      <sz val="10"/>
      <name val="Arial"/>
    </font>
    <font>
      <b/>
      <sz val="11"/>
      <color rgb="FF1F3A5F"/>
      <name val="Arial"/>
    </font>
    <font>
      <b/>
      <sz val="10"/>
      <name val="Arial"/>
    </font>
    <font>
      <sz val="10"/>
      <name val="Consolas"/>
    </font>
    <font>
      <sz val="10"/>
      <color rgb="FF0000FF"/>
      <name val="Arial"/>
    </font>
    <font>
      <i/>
      <sz val="10"/>
      <name val="Arial"/>
    </font>
    <font>
      <u/>
      <sz val="10"/>
      <color rgb="FF0563C1"/>
      <name val="Arial"/>
    </font>
  </fonts>
  <fills count="5">
    <fill>
      <patternFill patternType="none"/>
    </fill>
    <fill>
      <patternFill patternType="gray125"/>
    </fill>
    <fill>
      <patternFill patternType="solid">
        <fgColor rgb="FF1F3A5F"/>
      </patternFill>
    </fill>
    <fill>
      <patternFill patternType="solid">
        <fgColor rgb="FFFFF2CC"/>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0" xfId="0" applyFont="1"/>
    <xf numFmtId="0" fontId="6" fillId="0" borderId="0" xfId="0" applyFont="1"/>
    <xf numFmtId="0" fontId="4" fillId="0" borderId="0" xfId="0" applyFont="1"/>
    <xf numFmtId="0" fontId="7" fillId="0" borderId="0" xfId="0" applyFont="1"/>
    <xf numFmtId="0" fontId="8" fillId="3" borderId="1" xfId="0" applyFont="1" applyFill="1" applyBorder="1" applyAlignment="1">
      <alignment vertical="top" wrapText="1"/>
    </xf>
    <xf numFmtId="0" fontId="3" fillId="2" borderId="1" xfId="0" applyFont="1" applyFill="1" applyBorder="1"/>
    <xf numFmtId="0" fontId="4" fillId="0" borderId="1" xfId="0" applyFont="1" applyBorder="1"/>
    <xf numFmtId="9" fontId="4" fillId="0" borderId="1" xfId="0" applyNumberFormat="1" applyFont="1" applyBorder="1"/>
    <xf numFmtId="0" fontId="9" fillId="4" borderId="1" xfId="0" applyFont="1" applyFill="1" applyBorder="1"/>
    <xf numFmtId="164" fontId="9" fillId="4" borderId="1" xfId="0" applyNumberFormat="1" applyFont="1" applyFill="1" applyBorder="1"/>
    <xf numFmtId="0" fontId="8" fillId="3" borderId="1" xfId="0" applyFont="1" applyFill="1" applyBorder="1"/>
    <xf numFmtId="164" fontId="4" fillId="0" borderId="1" xfId="0" applyNumberFormat="1" applyFont="1" applyBorder="1"/>
    <xf numFmtId="0" fontId="6" fillId="0" borderId="1" xfId="0" applyFont="1" applyBorder="1"/>
    <xf numFmtId="14" fontId="8" fillId="3" borderId="0" xfId="0" applyNumberFormat="1" applyFont="1" applyFill="1"/>
    <xf numFmtId="9" fontId="6" fillId="0" borderId="0" xfId="0" applyNumberFormat="1" applyFont="1"/>
    <xf numFmtId="14" fontId="4" fillId="0" borderId="1" xfId="0" applyNumberFormat="1" applyFont="1" applyBorder="1" applyAlignment="1">
      <alignment vertical="top" wrapText="1"/>
    </xf>
    <xf numFmtId="0" fontId="10" fillId="0" borderId="1" xfId="0" applyFont="1" applyBorder="1" applyAlignment="1">
      <alignment vertical="top" wrapText="1"/>
    </xf>
    <xf numFmtId="0" fontId="4" fillId="0" borderId="0" xfId="0" applyFont="1" applyAlignment="1">
      <alignment vertical="top" wrapText="1"/>
    </xf>
    <xf numFmtId="0" fontId="0" fillId="0" borderId="0" xfId="0"/>
    <xf numFmtId="0" fontId="3" fillId="2" borderId="1" xfId="0" applyFont="1" applyFill="1" applyBorder="1" applyAlignment="1">
      <alignment vertical="top" wrapText="1"/>
    </xf>
    <xf numFmtId="0" fontId="0" fillId="2" borderId="1" xfId="0" applyFill="1" applyBorder="1"/>
    <xf numFmtId="0" fontId="4" fillId="0" borderId="1" xfId="0" applyFont="1" applyBorder="1" applyAlignment="1">
      <alignment vertical="top" wrapText="1"/>
    </xf>
    <xf numFmtId="0" fontId="0" fillId="0" borderId="1" xfId="0" applyBorder="1"/>
  </cellXfs>
  <cellStyles count="1">
    <cellStyle name="Normal" xfId="0" builtinId="0"/>
  </cellStyles>
  <dxfs count="2">
    <dxf>
      <fill>
        <patternFill patternType="solid">
          <fgColor rgb="FFFCE5CD"/>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3" Type="http://schemas.openxmlformats.org/officeDocument/2006/relationships/hyperlink" Target="https://aclanthology.org/2024.naacl-long.300" TargetMode="External"/><Relationship Id="rId18" Type="http://schemas.openxmlformats.org/officeDocument/2006/relationships/hyperlink" Target="https://ai.google.dev/gemini-api/docs/rate-limits" TargetMode="External"/><Relationship Id="rId26" Type="http://schemas.openxmlformats.org/officeDocument/2006/relationships/hyperlink" Target="https://www.theregister.com/2024/06/18/metas_decision_to_withdraw_misinformation/" TargetMode="External"/><Relationship Id="rId21" Type="http://schemas.openxmlformats.org/officeDocument/2006/relationships/hyperlink" Target="https://revistas.unlp.edu.ar/JAIIO/article/view/17910" TargetMode="External"/><Relationship Id="rId34" Type="http://schemas.openxmlformats.org/officeDocument/2006/relationships/hyperlink" Target="https://aclanthology.org/W03-0419/" TargetMode="External"/><Relationship Id="rId7" Type="http://schemas.openxmlformats.org/officeDocument/2006/relationships/hyperlink" Target="https://arxiv.org/abs/2104.03879" TargetMode="External"/><Relationship Id="rId12" Type="http://schemas.openxmlformats.org/officeDocument/2006/relationships/hyperlink" Target="https://arxiv.org/abs/2308.03279" TargetMode="External"/><Relationship Id="rId17" Type="http://schemas.openxmlformats.org/officeDocument/2006/relationships/hyperlink" Target="https://ai.google.dev/gemini-api/docs/structured-output" TargetMode="External"/><Relationship Id="rId25" Type="http://schemas.openxmlformats.org/officeDocument/2006/relationships/hyperlink" Target="https://developers.facebook.com/docs/graph-api/changelog/version19.0/" TargetMode="External"/><Relationship Id="rId33" Type="http://schemas.openxmlformats.org/officeDocument/2006/relationships/hyperlink" Target="https://aclanthology.org/W95-0107/" TargetMode="External"/><Relationship Id="rId2" Type="http://schemas.openxmlformats.org/officeDocument/2006/relationships/hyperlink" Target="https://doi.org/10.1109/ACCESS.2022.3195496" TargetMode="External"/><Relationship Id="rId16" Type="http://schemas.openxmlformats.org/officeDocument/2006/relationships/hyperlink" Target="https://arxiv.org/abs/2501.10868" TargetMode="External"/><Relationship Id="rId20" Type="http://schemas.openxmlformats.org/officeDocument/2006/relationships/hyperlink" Target="https://dergipark.org.tr/en/pub/saucis/article/1829206" TargetMode="External"/><Relationship Id="rId29" Type="http://schemas.openxmlformats.org/officeDocument/2006/relationships/hyperlink" Target="https://github.com/tranngocminhhieu/vietnamadminunits" TargetMode="External"/><Relationship Id="rId1" Type="http://schemas.openxmlformats.org/officeDocument/2006/relationships/hyperlink" Target="https://doi.org/10.1109/NICS54270.2021.9701519" TargetMode="External"/><Relationship Id="rId6" Type="http://schemas.openxmlformats.org/officeDocument/2006/relationships/hyperlink" Target="https://aclanthology.org/2020.findings-emnlp.92/" TargetMode="External"/><Relationship Id="rId11" Type="http://schemas.openxmlformats.org/officeDocument/2006/relationships/hyperlink" Target="https://doi.org/10.1007/s11704-024-40555-y" TargetMode="External"/><Relationship Id="rId24" Type="http://schemas.openxmlformats.org/officeDocument/2006/relationships/hyperlink" Target="https://arxiv.org/abs/2507.03674" TargetMode="External"/><Relationship Id="rId32" Type="http://schemas.openxmlformats.org/officeDocument/2006/relationships/hyperlink" Target="https://doi.org/10.1109/5.18626" TargetMode="External"/><Relationship Id="rId37" Type="http://schemas.openxmlformats.org/officeDocument/2006/relationships/hyperlink" Target="https://labelstud.io/" TargetMode="External"/><Relationship Id="rId5" Type="http://schemas.openxmlformats.org/officeDocument/2006/relationships/hyperlink" Target="https://arxiv.org/abs/2501.10848" TargetMode="External"/><Relationship Id="rId15" Type="http://schemas.openxmlformats.org/officeDocument/2006/relationships/hyperlink" Target="https://github.com/google/langextract" TargetMode="External"/><Relationship Id="rId23" Type="http://schemas.openxmlformats.org/officeDocument/2006/relationships/hyperlink" Target="https://www.researchgate.net/publication/391167717" TargetMode="External"/><Relationship Id="rId28" Type="http://schemas.openxmlformats.org/officeDocument/2006/relationships/hyperlink" Target="https://www.pwc.com/vn/en/publications/vietnam-publications/vietnam-administrative-reform.html" TargetMode="External"/><Relationship Id="rId36" Type="http://schemas.openxmlformats.org/officeDocument/2006/relationships/hyperlink" Target="https://github.com/chakki-works/seqeval" TargetMode="External"/><Relationship Id="rId10" Type="http://schemas.openxmlformats.org/officeDocument/2006/relationships/hyperlink" Target="https://aclanthology.org/2025.acl-long.563" TargetMode="External"/><Relationship Id="rId19" Type="http://schemas.openxmlformats.org/officeDocument/2006/relationships/hyperlink" Target="https://doi.org/10.1080/08965803.2025.2587313" TargetMode="External"/><Relationship Id="rId31" Type="http://schemas.openxmlformats.org/officeDocument/2006/relationships/hyperlink" Target="https://web.stanford.edu/~jurafsky/slp3/" TargetMode="External"/><Relationship Id="rId4" Type="http://schemas.openxmlformats.org/officeDocument/2006/relationships/hyperlink" Target="https://doi.org/10.1109/KSE.2012.27" TargetMode="External"/><Relationship Id="rId9" Type="http://schemas.openxmlformats.org/officeDocument/2006/relationships/hyperlink" Target="https://journals.plos.org/plosone/article?id=10.1371%2Fjournal.pone.0353166" TargetMode="External"/><Relationship Id="rId14" Type="http://schemas.openxmlformats.org/officeDocument/2006/relationships/hyperlink" Target="https://arxiv.org/abs/2507.18546" TargetMode="External"/><Relationship Id="rId22" Type="http://schemas.openxmlformats.org/officeDocument/2006/relationships/hyperlink" Target="https://arxiv.org/abs/2607.06012" TargetMode="External"/><Relationship Id="rId27" Type="http://schemas.openxmlformats.org/officeDocument/2006/relationships/hyperlink" Target="https://thuvienphapluat.vn/van-ban/Bo-may-hanh-chinh/Law-91-2025-QH15-Personal-Data-Protection-665440.aspx" TargetMode="External"/><Relationship Id="rId30" Type="http://schemas.openxmlformats.org/officeDocument/2006/relationships/hyperlink" Target="https://pypi.org/project/vietnam-address-converter/" TargetMode="External"/><Relationship Id="rId35" Type="http://schemas.openxmlformats.org/officeDocument/2006/relationships/hyperlink" Target="https://aclanthology.org/N16-1030/" TargetMode="External"/><Relationship Id="rId8" Type="http://schemas.openxmlformats.org/officeDocument/2006/relationships/hyperlink" Target="https://aclanthology.org/2024.eacl-long.85" TargetMode="External"/><Relationship Id="rId3" Type="http://schemas.openxmlformats.org/officeDocument/2006/relationships/hyperlink" Target="https://aclanthology.org/2022.paclic-1.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C45"/>
  <sheetViews>
    <sheetView showGridLines="0" tabSelected="1" workbookViewId="0"/>
  </sheetViews>
  <sheetFormatPr defaultRowHeight="14.4" x14ac:dyDescent="0.3"/>
  <cols>
    <col min="1" max="1" width="28" customWidth="1"/>
    <col min="2" max="2" width="110" customWidth="1"/>
    <col min="3" max="3" width="60" customWidth="1"/>
  </cols>
  <sheetData>
    <row r="1" spans="1:2" ht="17.399999999999999" x14ac:dyDescent="0.3">
      <c r="A1" s="1" t="s">
        <v>0</v>
      </c>
    </row>
    <row r="2" spans="1:2" x14ac:dyDescent="0.3">
      <c r="A2" s="2" t="s">
        <v>1</v>
      </c>
    </row>
    <row r="4" spans="1:2" x14ac:dyDescent="0.3">
      <c r="A4" s="3" t="s">
        <v>2</v>
      </c>
      <c r="B4" s="3" t="s">
        <v>3</v>
      </c>
    </row>
    <row r="5" spans="1:2" ht="26.4" x14ac:dyDescent="0.3">
      <c r="A5" s="4" t="s">
        <v>4</v>
      </c>
      <c r="B5" s="4" t="s">
        <v>5</v>
      </c>
    </row>
    <row r="6" spans="1:2" ht="39.6" x14ac:dyDescent="0.3">
      <c r="A6" s="4" t="s">
        <v>6</v>
      </c>
      <c r="B6" s="4" t="s">
        <v>7</v>
      </c>
    </row>
    <row r="7" spans="1:2" ht="39.6" x14ac:dyDescent="0.3">
      <c r="A7" s="4" t="s">
        <v>8</v>
      </c>
      <c r="B7" s="4" t="s">
        <v>9</v>
      </c>
    </row>
    <row r="8" spans="1:2" ht="26.4" x14ac:dyDescent="0.3">
      <c r="A8" s="4" t="s">
        <v>10</v>
      </c>
      <c r="B8" s="4" t="s">
        <v>11</v>
      </c>
    </row>
    <row r="9" spans="1:2" ht="26.4" x14ac:dyDescent="0.3">
      <c r="A9" s="4" t="s">
        <v>12</v>
      </c>
      <c r="B9" s="4" t="s">
        <v>13</v>
      </c>
    </row>
    <row r="10" spans="1:2" ht="26.4" x14ac:dyDescent="0.3">
      <c r="A10" s="4" t="s">
        <v>14</v>
      </c>
      <c r="B10" s="4" t="s">
        <v>15</v>
      </c>
    </row>
    <row r="11" spans="1:2" ht="26.4" x14ac:dyDescent="0.3">
      <c r="A11" s="4" t="s">
        <v>16</v>
      </c>
      <c r="B11" s="4" t="s">
        <v>17</v>
      </c>
    </row>
    <row r="12" spans="1:2" x14ac:dyDescent="0.3">
      <c r="A12" s="4" t="s">
        <v>18</v>
      </c>
      <c r="B12" s="4" t="s">
        <v>19</v>
      </c>
    </row>
    <row r="13" spans="1:2" ht="26.4" x14ac:dyDescent="0.3">
      <c r="A13" s="4" t="s">
        <v>20</v>
      </c>
      <c r="B13" s="4" t="s">
        <v>21</v>
      </c>
    </row>
    <row r="14" spans="1:2" ht="26.4" x14ac:dyDescent="0.3">
      <c r="A14" s="4" t="s">
        <v>22</v>
      </c>
      <c r="B14" s="4" t="s">
        <v>23</v>
      </c>
    </row>
    <row r="15" spans="1:2" x14ac:dyDescent="0.3">
      <c r="A15" s="4" t="s">
        <v>24</v>
      </c>
      <c r="B15" s="4" t="s">
        <v>25</v>
      </c>
    </row>
    <row r="16" spans="1:2" ht="26.4" x14ac:dyDescent="0.3">
      <c r="A16" s="4" t="s">
        <v>26</v>
      </c>
      <c r="B16" s="4" t="s">
        <v>27</v>
      </c>
    </row>
    <row r="17" spans="1:3" ht="26.4" x14ac:dyDescent="0.3">
      <c r="A17" s="4" t="s">
        <v>28</v>
      </c>
      <c r="B17" s="4" t="s">
        <v>29</v>
      </c>
    </row>
    <row r="18" spans="1:3" ht="26.4" x14ac:dyDescent="0.3">
      <c r="A18" s="4" t="s">
        <v>30</v>
      </c>
      <c r="B18" s="4" t="s">
        <v>31</v>
      </c>
    </row>
    <row r="19" spans="1:3" ht="26.4" x14ac:dyDescent="0.3">
      <c r="A19" s="4" t="s">
        <v>32</v>
      </c>
      <c r="B19" s="4" t="s">
        <v>33</v>
      </c>
    </row>
    <row r="20" spans="1:3" ht="26.4" x14ac:dyDescent="0.3">
      <c r="A20" s="4" t="s">
        <v>34</v>
      </c>
      <c r="B20" s="4" t="s">
        <v>35</v>
      </c>
    </row>
    <row r="22" spans="1:3" x14ac:dyDescent="0.3">
      <c r="A22" s="5" t="s">
        <v>36</v>
      </c>
    </row>
    <row r="23" spans="1:3" ht="26.4" x14ac:dyDescent="0.3">
      <c r="A23" s="3" t="s">
        <v>37</v>
      </c>
      <c r="B23" s="3" t="s">
        <v>38</v>
      </c>
      <c r="C23" s="3" t="s">
        <v>39</v>
      </c>
    </row>
    <row r="24" spans="1:3" ht="26.4" x14ac:dyDescent="0.3">
      <c r="A24" s="4" t="s">
        <v>40</v>
      </c>
      <c r="B24" s="4" t="s">
        <v>41</v>
      </c>
      <c r="C24" s="4" t="s">
        <v>42</v>
      </c>
    </row>
    <row r="25" spans="1:3" x14ac:dyDescent="0.3">
      <c r="A25" s="4" t="s">
        <v>43</v>
      </c>
      <c r="B25" s="4" t="s">
        <v>44</v>
      </c>
      <c r="C25" s="4" t="s">
        <v>45</v>
      </c>
    </row>
    <row r="26" spans="1:3" x14ac:dyDescent="0.3">
      <c r="A26" s="4" t="s">
        <v>46</v>
      </c>
      <c r="B26" s="4" t="s">
        <v>47</v>
      </c>
      <c r="C26" s="4" t="s">
        <v>48</v>
      </c>
    </row>
    <row r="27" spans="1:3" ht="26.4" x14ac:dyDescent="0.3">
      <c r="A27" s="4" t="s">
        <v>49</v>
      </c>
      <c r="B27" s="4" t="s">
        <v>50</v>
      </c>
      <c r="C27" s="4" t="s">
        <v>51</v>
      </c>
    </row>
    <row r="28" spans="1:3" x14ac:dyDescent="0.3">
      <c r="A28" s="4" t="s">
        <v>52</v>
      </c>
      <c r="B28" s="4" t="s">
        <v>53</v>
      </c>
      <c r="C28" s="4" t="s">
        <v>54</v>
      </c>
    </row>
    <row r="29" spans="1:3" x14ac:dyDescent="0.3">
      <c r="A29" s="4" t="s">
        <v>55</v>
      </c>
      <c r="B29" s="4" t="s">
        <v>56</v>
      </c>
      <c r="C29" s="4" t="s">
        <v>57</v>
      </c>
    </row>
    <row r="30" spans="1:3" x14ac:dyDescent="0.3">
      <c r="A30" s="4" t="s">
        <v>58</v>
      </c>
      <c r="B30" s="4" t="s">
        <v>59</v>
      </c>
      <c r="C30" s="4" t="s">
        <v>60</v>
      </c>
    </row>
    <row r="32" spans="1:3" x14ac:dyDescent="0.3">
      <c r="A32" s="5" t="s">
        <v>61</v>
      </c>
    </row>
    <row r="33" spans="1:2" x14ac:dyDescent="0.3">
      <c r="A33" s="3" t="s">
        <v>62</v>
      </c>
      <c r="B33" s="3" t="s">
        <v>3</v>
      </c>
    </row>
    <row r="34" spans="1:2" x14ac:dyDescent="0.3">
      <c r="A34" s="4" t="s">
        <v>63</v>
      </c>
      <c r="B34" s="4" t="s">
        <v>64</v>
      </c>
    </row>
    <row r="35" spans="1:2" x14ac:dyDescent="0.3">
      <c r="A35" s="4" t="s">
        <v>65</v>
      </c>
      <c r="B35" s="4" t="s">
        <v>66</v>
      </c>
    </row>
    <row r="36" spans="1:2" x14ac:dyDescent="0.3">
      <c r="A36" s="4" t="s">
        <v>67</v>
      </c>
      <c r="B36" s="4" t="s">
        <v>68</v>
      </c>
    </row>
    <row r="37" spans="1:2" x14ac:dyDescent="0.3">
      <c r="A37" s="4" t="s">
        <v>69</v>
      </c>
      <c r="B37" s="4" t="s">
        <v>70</v>
      </c>
    </row>
    <row r="38" spans="1:2" x14ac:dyDescent="0.3">
      <c r="A38" s="4" t="s">
        <v>71</v>
      </c>
      <c r="B38" s="4" t="s">
        <v>72</v>
      </c>
    </row>
    <row r="39" spans="1:2" x14ac:dyDescent="0.3">
      <c r="A39" s="4" t="s">
        <v>73</v>
      </c>
      <c r="B39" s="4" t="s">
        <v>74</v>
      </c>
    </row>
    <row r="40" spans="1:2" x14ac:dyDescent="0.3">
      <c r="A40" s="4" t="s">
        <v>75</v>
      </c>
      <c r="B40" s="4" t="s">
        <v>76</v>
      </c>
    </row>
    <row r="41" spans="1:2" x14ac:dyDescent="0.3">
      <c r="A41" s="4" t="s">
        <v>77</v>
      </c>
      <c r="B41" s="4" t="s">
        <v>78</v>
      </c>
    </row>
    <row r="42" spans="1:2" x14ac:dyDescent="0.3">
      <c r="A42" s="4" t="s">
        <v>79</v>
      </c>
      <c r="B42" s="4" t="s">
        <v>80</v>
      </c>
    </row>
    <row r="43" spans="1:2" x14ac:dyDescent="0.3">
      <c r="A43" s="4" t="s">
        <v>81</v>
      </c>
      <c r="B43" s="4" t="s">
        <v>82</v>
      </c>
    </row>
    <row r="44" spans="1:2" x14ac:dyDescent="0.3">
      <c r="A44" s="4" t="s">
        <v>83</v>
      </c>
      <c r="B44" s="4" t="s">
        <v>84</v>
      </c>
    </row>
    <row r="45" spans="1:2" x14ac:dyDescent="0.3">
      <c r="A45" s="4" t="s">
        <v>85</v>
      </c>
      <c r="B45" s="4" t="s">
        <v>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9DB"/>
  </sheetPr>
  <dimension ref="A1:D26"/>
  <sheetViews>
    <sheetView showGridLines="0" workbookViewId="0"/>
  </sheetViews>
  <sheetFormatPr defaultRowHeight="14.4" x14ac:dyDescent="0.3"/>
  <cols>
    <col min="1" max="1" width="30" customWidth="1"/>
    <col min="2" max="2" width="22" customWidth="1"/>
    <col min="3" max="4" width="45" customWidth="1"/>
  </cols>
  <sheetData>
    <row r="1" spans="1:4" ht="17.399999999999999" x14ac:dyDescent="0.3">
      <c r="A1" s="1" t="s">
        <v>87</v>
      </c>
    </row>
    <row r="2" spans="1:4" x14ac:dyDescent="0.3">
      <c r="A2" s="2" t="s">
        <v>88</v>
      </c>
    </row>
    <row r="4" spans="1:4" x14ac:dyDescent="0.3">
      <c r="A4" s="3" t="s">
        <v>89</v>
      </c>
      <c r="B4" s="3" t="s">
        <v>90</v>
      </c>
      <c r="C4" s="3" t="s">
        <v>91</v>
      </c>
      <c r="D4" s="3" t="s">
        <v>92</v>
      </c>
    </row>
    <row r="5" spans="1:4" ht="52.8" x14ac:dyDescent="0.3">
      <c r="A5" s="4" t="s">
        <v>93</v>
      </c>
      <c r="B5" s="4" t="s">
        <v>94</v>
      </c>
      <c r="C5" s="4" t="s">
        <v>95</v>
      </c>
      <c r="D5" s="4" t="s">
        <v>96</v>
      </c>
    </row>
    <row r="6" spans="1:4" ht="26.4" x14ac:dyDescent="0.3">
      <c r="A6" s="4" t="s">
        <v>97</v>
      </c>
      <c r="B6" s="4" t="s">
        <v>98</v>
      </c>
      <c r="C6" s="4" t="s">
        <v>99</v>
      </c>
      <c r="D6" s="4" t="s">
        <v>100</v>
      </c>
    </row>
    <row r="7" spans="1:4" ht="26.4" x14ac:dyDescent="0.3">
      <c r="A7" s="4" t="s">
        <v>101</v>
      </c>
      <c r="B7" s="4" t="s">
        <v>102</v>
      </c>
      <c r="C7" s="4" t="s">
        <v>103</v>
      </c>
      <c r="D7" s="4" t="s">
        <v>104</v>
      </c>
    </row>
    <row r="8" spans="1:4" ht="26.4" x14ac:dyDescent="0.3">
      <c r="A8" s="4" t="s">
        <v>105</v>
      </c>
      <c r="B8" s="4" t="s">
        <v>106</v>
      </c>
      <c r="C8" s="4" t="s">
        <v>107</v>
      </c>
      <c r="D8" s="4" t="s">
        <v>108</v>
      </c>
    </row>
    <row r="9" spans="1:4" ht="26.4" x14ac:dyDescent="0.3">
      <c r="A9" s="4" t="s">
        <v>109</v>
      </c>
      <c r="B9" s="4" t="s">
        <v>110</v>
      </c>
      <c r="C9" s="4" t="s">
        <v>111</v>
      </c>
      <c r="D9" s="4" t="s">
        <v>112</v>
      </c>
    </row>
    <row r="10" spans="1:4" x14ac:dyDescent="0.3">
      <c r="A10" s="4" t="s">
        <v>113</v>
      </c>
      <c r="B10" s="4" t="s">
        <v>114</v>
      </c>
      <c r="C10" s="4" t="s">
        <v>115</v>
      </c>
      <c r="D10" s="4" t="s">
        <v>116</v>
      </c>
    </row>
    <row r="11" spans="1:4" ht="26.4" x14ac:dyDescent="0.3">
      <c r="A11" s="4" t="s">
        <v>117</v>
      </c>
      <c r="B11" s="4" t="s">
        <v>118</v>
      </c>
      <c r="C11" s="4" t="s">
        <v>119</v>
      </c>
      <c r="D11" s="4" t="s">
        <v>120</v>
      </c>
    </row>
    <row r="12" spans="1:4" ht="26.4" x14ac:dyDescent="0.3">
      <c r="A12" s="4" t="s">
        <v>121</v>
      </c>
      <c r="B12" s="4" t="s">
        <v>122</v>
      </c>
      <c r="C12" s="4" t="s">
        <v>123</v>
      </c>
      <c r="D12" s="4" t="s">
        <v>124</v>
      </c>
    </row>
    <row r="14" spans="1:4" x14ac:dyDescent="0.3">
      <c r="A14" s="5" t="s">
        <v>125</v>
      </c>
    </row>
    <row r="15" spans="1:4" x14ac:dyDescent="0.3">
      <c r="A15" s="3" t="s">
        <v>126</v>
      </c>
      <c r="B15" s="3" t="s">
        <v>127</v>
      </c>
      <c r="C15" s="3" t="s">
        <v>128</v>
      </c>
      <c r="D15" s="3" t="s">
        <v>129</v>
      </c>
    </row>
    <row r="16" spans="1:4" ht="26.4" x14ac:dyDescent="0.3">
      <c r="A16" s="4" t="s">
        <v>130</v>
      </c>
      <c r="B16" s="4" t="s">
        <v>131</v>
      </c>
      <c r="C16" s="4" t="s">
        <v>132</v>
      </c>
      <c r="D16" s="4" t="s">
        <v>133</v>
      </c>
    </row>
    <row r="17" spans="1:4" ht="26.4" x14ac:dyDescent="0.3">
      <c r="A17" s="4" t="s">
        <v>134</v>
      </c>
      <c r="B17" s="4" t="s">
        <v>135</v>
      </c>
      <c r="C17" s="4" t="s">
        <v>136</v>
      </c>
      <c r="D17" s="4" t="s">
        <v>137</v>
      </c>
    </row>
    <row r="18" spans="1:4" ht="26.4" x14ac:dyDescent="0.3">
      <c r="A18" s="4" t="s">
        <v>138</v>
      </c>
      <c r="B18" s="4" t="s">
        <v>139</v>
      </c>
      <c r="C18" s="4" t="s">
        <v>140</v>
      </c>
      <c r="D18" s="4" t="s">
        <v>141</v>
      </c>
    </row>
    <row r="19" spans="1:4" ht="26.4" x14ac:dyDescent="0.3">
      <c r="A19" s="4" t="s">
        <v>142</v>
      </c>
      <c r="B19" s="4" t="s">
        <v>143</v>
      </c>
      <c r="C19" s="4" t="s">
        <v>144</v>
      </c>
      <c r="D19" s="4" t="s">
        <v>145</v>
      </c>
    </row>
    <row r="21" spans="1:4" x14ac:dyDescent="0.3">
      <c r="A21" s="6" t="s">
        <v>146</v>
      </c>
    </row>
    <row r="22" spans="1:4" x14ac:dyDescent="0.3">
      <c r="A22" s="7" t="s">
        <v>147</v>
      </c>
    </row>
    <row r="23" spans="1:4" x14ac:dyDescent="0.3">
      <c r="A23" s="8" t="s">
        <v>148</v>
      </c>
    </row>
    <row r="25" spans="1:4" x14ac:dyDescent="0.3">
      <c r="A25" s="6" t="s">
        <v>149</v>
      </c>
    </row>
    <row r="26" spans="1:4" ht="45" customHeight="1" x14ac:dyDescent="0.3">
      <c r="A26" s="22" t="s">
        <v>150</v>
      </c>
      <c r="B26" s="23"/>
      <c r="C26" s="23"/>
      <c r="D26" s="23"/>
    </row>
  </sheetData>
  <mergeCells count="1">
    <mergeCell ref="A26:D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sheetPr>
  <dimension ref="A1:I24"/>
  <sheetViews>
    <sheetView showGridLines="0" workbookViewId="0"/>
  </sheetViews>
  <sheetFormatPr defaultRowHeight="14.4" x14ac:dyDescent="0.3"/>
  <cols>
    <col min="1" max="1" width="11" customWidth="1"/>
    <col min="2" max="2" width="22" customWidth="1"/>
    <col min="3" max="4" width="10" customWidth="1"/>
    <col min="5" max="5" width="48" customWidth="1"/>
    <col min="6" max="6" width="18" customWidth="1"/>
    <col min="7" max="7" width="20" customWidth="1"/>
    <col min="8" max="8" width="16" customWidth="1"/>
    <col min="9" max="9" width="18" customWidth="1"/>
  </cols>
  <sheetData>
    <row r="1" spans="1:9" ht="17.399999999999999" x14ac:dyDescent="0.3">
      <c r="A1" s="1" t="s">
        <v>151</v>
      </c>
    </row>
    <row r="2" spans="1:9" x14ac:dyDescent="0.3">
      <c r="A2" s="2" t="s">
        <v>152</v>
      </c>
    </row>
    <row r="4" spans="1:9" ht="26.4" x14ac:dyDescent="0.3">
      <c r="A4" s="3" t="s">
        <v>153</v>
      </c>
      <c r="B4" s="3" t="s">
        <v>154</v>
      </c>
      <c r="C4" s="3" t="s">
        <v>155</v>
      </c>
      <c r="D4" s="3" t="s">
        <v>156</v>
      </c>
      <c r="E4" s="3" t="s">
        <v>157</v>
      </c>
      <c r="F4" s="3" t="s">
        <v>158</v>
      </c>
      <c r="G4" s="3" t="s">
        <v>159</v>
      </c>
      <c r="H4" s="3" t="s">
        <v>160</v>
      </c>
      <c r="I4" s="3" t="s">
        <v>161</v>
      </c>
    </row>
    <row r="5" spans="1:9" ht="26.4" x14ac:dyDescent="0.3">
      <c r="A5" s="4" t="s">
        <v>162</v>
      </c>
      <c r="B5" s="4" t="s">
        <v>163</v>
      </c>
      <c r="C5" s="4" t="s">
        <v>164</v>
      </c>
      <c r="D5" s="4" t="s">
        <v>165</v>
      </c>
      <c r="E5" s="4" t="s">
        <v>166</v>
      </c>
      <c r="F5" s="4" t="s">
        <v>167</v>
      </c>
      <c r="G5" s="4" t="s">
        <v>168</v>
      </c>
      <c r="H5" s="4" t="s">
        <v>169</v>
      </c>
      <c r="I5" s="4" t="s">
        <v>170</v>
      </c>
    </row>
    <row r="6" spans="1:9" x14ac:dyDescent="0.3">
      <c r="A6" s="4" t="s">
        <v>162</v>
      </c>
      <c r="B6" s="4" t="s">
        <v>171</v>
      </c>
      <c r="C6" s="4" t="s">
        <v>172</v>
      </c>
      <c r="D6" s="4" t="s">
        <v>165</v>
      </c>
      <c r="E6" s="4" t="s">
        <v>173</v>
      </c>
      <c r="F6" s="4" t="s">
        <v>174</v>
      </c>
      <c r="G6" s="4" t="s">
        <v>175</v>
      </c>
      <c r="H6" s="4" t="s">
        <v>176</v>
      </c>
      <c r="I6" s="4" t="s">
        <v>49</v>
      </c>
    </row>
    <row r="7" spans="1:9" ht="39.6" x14ac:dyDescent="0.3">
      <c r="A7" s="4" t="s">
        <v>177</v>
      </c>
      <c r="B7" s="4" t="s">
        <v>178</v>
      </c>
      <c r="C7" s="4" t="s">
        <v>179</v>
      </c>
      <c r="D7" s="4" t="s">
        <v>180</v>
      </c>
      <c r="E7" s="4" t="s">
        <v>181</v>
      </c>
      <c r="F7" s="4" t="s">
        <v>182</v>
      </c>
      <c r="G7" s="4" t="s">
        <v>183</v>
      </c>
      <c r="H7" s="4" t="s">
        <v>184</v>
      </c>
      <c r="I7" s="4" t="s">
        <v>185</v>
      </c>
    </row>
    <row r="8" spans="1:9" x14ac:dyDescent="0.3">
      <c r="A8" s="4" t="s">
        <v>177</v>
      </c>
      <c r="B8" s="4" t="s">
        <v>186</v>
      </c>
      <c r="C8" s="4" t="s">
        <v>179</v>
      </c>
      <c r="D8" s="4" t="s">
        <v>180</v>
      </c>
      <c r="E8" s="4" t="s">
        <v>187</v>
      </c>
      <c r="F8" s="4" t="s">
        <v>188</v>
      </c>
      <c r="G8" s="4" t="s">
        <v>189</v>
      </c>
      <c r="H8" s="4" t="s">
        <v>184</v>
      </c>
      <c r="I8" s="4" t="s">
        <v>98</v>
      </c>
    </row>
    <row r="9" spans="1:9" ht="39.6" x14ac:dyDescent="0.3">
      <c r="A9" s="4" t="s">
        <v>177</v>
      </c>
      <c r="B9" s="4" t="s">
        <v>190</v>
      </c>
      <c r="C9" s="4" t="s">
        <v>164</v>
      </c>
      <c r="D9" s="4" t="s">
        <v>165</v>
      </c>
      <c r="E9" s="4" t="s">
        <v>191</v>
      </c>
      <c r="F9" s="4" t="s">
        <v>192</v>
      </c>
      <c r="G9" s="4" t="s">
        <v>193</v>
      </c>
      <c r="H9" s="4" t="s">
        <v>169</v>
      </c>
      <c r="I9" s="4" t="s">
        <v>194</v>
      </c>
    </row>
    <row r="10" spans="1:9" x14ac:dyDescent="0.3">
      <c r="A10" s="4" t="s">
        <v>177</v>
      </c>
      <c r="B10" s="4" t="s">
        <v>195</v>
      </c>
      <c r="C10" s="4" t="s">
        <v>196</v>
      </c>
      <c r="D10" s="4" t="s">
        <v>165</v>
      </c>
      <c r="E10" s="4" t="s">
        <v>197</v>
      </c>
      <c r="F10" s="4" t="s">
        <v>198</v>
      </c>
      <c r="G10" s="4" t="s">
        <v>199</v>
      </c>
      <c r="H10" s="4" t="s">
        <v>200</v>
      </c>
      <c r="I10" s="4" t="s">
        <v>98</v>
      </c>
    </row>
    <row r="11" spans="1:9" x14ac:dyDescent="0.3">
      <c r="A11" s="4" t="s">
        <v>177</v>
      </c>
      <c r="B11" s="4" t="s">
        <v>201</v>
      </c>
      <c r="C11" s="4" t="s">
        <v>164</v>
      </c>
      <c r="D11" s="4" t="s">
        <v>165</v>
      </c>
      <c r="E11" s="4" t="s">
        <v>202</v>
      </c>
      <c r="F11" s="4" t="s">
        <v>203</v>
      </c>
      <c r="G11" s="4" t="s">
        <v>204</v>
      </c>
      <c r="H11" s="4" t="s">
        <v>165</v>
      </c>
      <c r="I11" s="4" t="s">
        <v>98</v>
      </c>
    </row>
    <row r="12" spans="1:9" ht="26.4" x14ac:dyDescent="0.3">
      <c r="A12" s="4" t="s">
        <v>205</v>
      </c>
      <c r="B12" s="4" t="s">
        <v>206</v>
      </c>
      <c r="C12" s="4" t="s">
        <v>207</v>
      </c>
      <c r="D12" s="4" t="s">
        <v>208</v>
      </c>
      <c r="E12" s="4" t="s">
        <v>209</v>
      </c>
      <c r="F12" s="4" t="s">
        <v>210</v>
      </c>
      <c r="G12" s="4" t="s">
        <v>211</v>
      </c>
      <c r="H12" s="4" t="s">
        <v>184</v>
      </c>
      <c r="I12" s="4" t="s">
        <v>98</v>
      </c>
    </row>
    <row r="13" spans="1:9" x14ac:dyDescent="0.3">
      <c r="A13" s="4" t="s">
        <v>205</v>
      </c>
      <c r="B13" s="4" t="s">
        <v>212</v>
      </c>
      <c r="C13" s="4" t="s">
        <v>207</v>
      </c>
      <c r="D13" s="4" t="s">
        <v>213</v>
      </c>
      <c r="E13" s="4" t="s">
        <v>214</v>
      </c>
      <c r="F13" s="4" t="s">
        <v>215</v>
      </c>
      <c r="G13" s="4" t="s">
        <v>216</v>
      </c>
      <c r="H13" s="4" t="s">
        <v>184</v>
      </c>
      <c r="I13" s="4" t="s">
        <v>98</v>
      </c>
    </row>
    <row r="14" spans="1:9" ht="26.4" x14ac:dyDescent="0.3">
      <c r="A14" s="4" t="s">
        <v>205</v>
      </c>
      <c r="B14" s="4" t="s">
        <v>217</v>
      </c>
      <c r="C14" s="4" t="s">
        <v>207</v>
      </c>
      <c r="D14" s="4" t="s">
        <v>208</v>
      </c>
      <c r="E14" s="4" t="s">
        <v>218</v>
      </c>
      <c r="F14" s="4" t="s">
        <v>219</v>
      </c>
      <c r="G14" s="4" t="s">
        <v>220</v>
      </c>
      <c r="H14" s="4" t="s">
        <v>184</v>
      </c>
      <c r="I14" s="4" t="s">
        <v>221</v>
      </c>
    </row>
    <row r="15" spans="1:9" ht="26.4" x14ac:dyDescent="0.3">
      <c r="A15" s="4" t="s">
        <v>222</v>
      </c>
      <c r="B15" s="4" t="s">
        <v>223</v>
      </c>
      <c r="C15" s="4" t="s">
        <v>224</v>
      </c>
      <c r="D15" s="4" t="s">
        <v>165</v>
      </c>
      <c r="E15" s="4" t="s">
        <v>225</v>
      </c>
      <c r="F15" s="4" t="s">
        <v>226</v>
      </c>
      <c r="G15" s="4" t="s">
        <v>227</v>
      </c>
      <c r="H15" s="4" t="s">
        <v>184</v>
      </c>
      <c r="I15" s="4" t="s">
        <v>228</v>
      </c>
    </row>
    <row r="16" spans="1:9" x14ac:dyDescent="0.3">
      <c r="A16" s="4" t="s">
        <v>222</v>
      </c>
      <c r="B16" s="4" t="s">
        <v>229</v>
      </c>
      <c r="C16" s="4" t="s">
        <v>224</v>
      </c>
      <c r="D16" s="4" t="s">
        <v>165</v>
      </c>
      <c r="E16" s="4" t="s">
        <v>230</v>
      </c>
      <c r="F16" s="4" t="s">
        <v>231</v>
      </c>
      <c r="G16" s="4" t="s">
        <v>232</v>
      </c>
      <c r="H16" s="4" t="s">
        <v>184</v>
      </c>
      <c r="I16" s="4" t="s">
        <v>49</v>
      </c>
    </row>
    <row r="17" spans="1:9" x14ac:dyDescent="0.3">
      <c r="A17" s="4" t="s">
        <v>222</v>
      </c>
      <c r="B17" s="4" t="s">
        <v>233</v>
      </c>
      <c r="C17" s="4" t="s">
        <v>224</v>
      </c>
      <c r="D17" s="4" t="s">
        <v>165</v>
      </c>
      <c r="E17" s="4" t="s">
        <v>234</v>
      </c>
      <c r="F17" s="4" t="s">
        <v>235</v>
      </c>
      <c r="G17" s="4" t="s">
        <v>236</v>
      </c>
      <c r="H17" s="4" t="s">
        <v>184</v>
      </c>
      <c r="I17" s="4" t="s">
        <v>237</v>
      </c>
    </row>
    <row r="18" spans="1:9" ht="26.4" x14ac:dyDescent="0.3">
      <c r="A18" s="4" t="s">
        <v>222</v>
      </c>
      <c r="B18" s="4" t="s">
        <v>238</v>
      </c>
      <c r="C18" s="4" t="s">
        <v>224</v>
      </c>
      <c r="D18" s="4" t="s">
        <v>165</v>
      </c>
      <c r="E18" s="4" t="s">
        <v>239</v>
      </c>
      <c r="F18" s="4" t="s">
        <v>240</v>
      </c>
      <c r="G18" s="4" t="s">
        <v>241</v>
      </c>
      <c r="H18" s="4" t="s">
        <v>184</v>
      </c>
      <c r="I18" s="4" t="s">
        <v>242</v>
      </c>
    </row>
    <row r="19" spans="1:9" ht="26.4" x14ac:dyDescent="0.3">
      <c r="A19" s="4" t="s">
        <v>222</v>
      </c>
      <c r="B19" s="4" t="s">
        <v>243</v>
      </c>
      <c r="C19" s="4" t="s">
        <v>224</v>
      </c>
      <c r="D19" s="4" t="s">
        <v>165</v>
      </c>
      <c r="E19" s="4" t="s">
        <v>244</v>
      </c>
      <c r="F19" s="4" t="s">
        <v>245</v>
      </c>
      <c r="G19" s="4" t="s">
        <v>246</v>
      </c>
      <c r="H19" s="4" t="s">
        <v>184</v>
      </c>
      <c r="I19" s="4" t="s">
        <v>49</v>
      </c>
    </row>
    <row r="20" spans="1:9" ht="26.4" x14ac:dyDescent="0.3">
      <c r="A20" s="4" t="s">
        <v>247</v>
      </c>
      <c r="B20" s="4" t="s">
        <v>248</v>
      </c>
      <c r="C20" s="4" t="s">
        <v>179</v>
      </c>
      <c r="D20" s="4" t="s">
        <v>249</v>
      </c>
      <c r="E20" s="4" t="s">
        <v>250</v>
      </c>
      <c r="F20" s="4" t="s">
        <v>251</v>
      </c>
      <c r="G20" s="4" t="s">
        <v>252</v>
      </c>
      <c r="H20" s="4" t="s">
        <v>184</v>
      </c>
      <c r="I20" s="4" t="s">
        <v>98</v>
      </c>
    </row>
    <row r="21" spans="1:9" x14ac:dyDescent="0.3">
      <c r="A21" s="4" t="s">
        <v>247</v>
      </c>
      <c r="B21" s="4" t="s">
        <v>253</v>
      </c>
      <c r="C21" s="4" t="s">
        <v>179</v>
      </c>
      <c r="D21" s="4" t="s">
        <v>249</v>
      </c>
      <c r="E21" s="4" t="s">
        <v>254</v>
      </c>
      <c r="F21" s="4" t="s">
        <v>255</v>
      </c>
      <c r="G21" s="4" t="s">
        <v>256</v>
      </c>
      <c r="H21" s="4" t="s">
        <v>184</v>
      </c>
      <c r="I21" s="4" t="s">
        <v>98</v>
      </c>
    </row>
    <row r="22" spans="1:9" x14ac:dyDescent="0.3">
      <c r="A22" s="4" t="s">
        <v>247</v>
      </c>
      <c r="B22" s="4" t="s">
        <v>257</v>
      </c>
      <c r="C22" s="4" t="s">
        <v>179</v>
      </c>
      <c r="D22" s="4" t="s">
        <v>258</v>
      </c>
      <c r="E22" s="4" t="s">
        <v>259</v>
      </c>
      <c r="F22" s="4" t="s">
        <v>260</v>
      </c>
      <c r="G22" s="4" t="s">
        <v>252</v>
      </c>
      <c r="H22" s="4" t="s">
        <v>184</v>
      </c>
      <c r="I22" s="4" t="s">
        <v>98</v>
      </c>
    </row>
    <row r="23" spans="1:9" ht="39.6" x14ac:dyDescent="0.3">
      <c r="A23" s="4" t="s">
        <v>261</v>
      </c>
      <c r="B23" s="4" t="s">
        <v>262</v>
      </c>
      <c r="C23" s="4" t="s">
        <v>172</v>
      </c>
      <c r="D23" s="4" t="s">
        <v>165</v>
      </c>
      <c r="E23" s="4" t="s">
        <v>263</v>
      </c>
      <c r="F23" s="4" t="s">
        <v>165</v>
      </c>
      <c r="G23" s="4" t="s">
        <v>165</v>
      </c>
      <c r="H23" s="4" t="s">
        <v>264</v>
      </c>
      <c r="I23" s="4" t="s">
        <v>265</v>
      </c>
    </row>
    <row r="24" spans="1:9" ht="26.4" x14ac:dyDescent="0.3">
      <c r="A24" s="4" t="s">
        <v>261</v>
      </c>
      <c r="B24" s="4" t="s">
        <v>266</v>
      </c>
      <c r="C24" s="4" t="s">
        <v>164</v>
      </c>
      <c r="D24" s="4" t="s">
        <v>165</v>
      </c>
      <c r="E24" s="4" t="s">
        <v>267</v>
      </c>
      <c r="F24" s="4" t="s">
        <v>165</v>
      </c>
      <c r="G24" s="4" t="s">
        <v>268</v>
      </c>
      <c r="H24" s="4" t="s">
        <v>165</v>
      </c>
      <c r="I24" s="4" t="s">
        <v>269</v>
      </c>
    </row>
  </sheetData>
  <autoFilter ref="A4:I2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I37"/>
  <sheetViews>
    <sheetView showGridLines="0" workbookViewId="0"/>
  </sheetViews>
  <sheetFormatPr defaultRowHeight="14.4" x14ac:dyDescent="0.3"/>
  <cols>
    <col min="1" max="1" width="7" customWidth="1"/>
    <col min="2" max="2" width="11" customWidth="1"/>
    <col min="3" max="3" width="28" customWidth="1"/>
    <col min="4" max="4" width="32" customWidth="1"/>
    <col min="5" max="5" width="26" customWidth="1"/>
    <col min="6" max="6" width="8" customWidth="1"/>
    <col min="7" max="7" width="28" customWidth="1"/>
    <col min="8" max="9" width="12" customWidth="1"/>
  </cols>
  <sheetData>
    <row r="1" spans="1:9" ht="17.399999999999999" x14ac:dyDescent="0.3">
      <c r="A1" s="1" t="s">
        <v>270</v>
      </c>
    </row>
    <row r="2" spans="1:9" x14ac:dyDescent="0.3">
      <c r="A2" s="2" t="s">
        <v>271</v>
      </c>
    </row>
    <row r="4" spans="1:9" ht="39.6" x14ac:dyDescent="0.3">
      <c r="A4" s="3" t="s">
        <v>272</v>
      </c>
      <c r="B4" s="3" t="s">
        <v>153</v>
      </c>
      <c r="C4" s="3" t="s">
        <v>273</v>
      </c>
      <c r="D4" s="3" t="s">
        <v>274</v>
      </c>
      <c r="E4" s="3" t="s">
        <v>275</v>
      </c>
      <c r="F4" s="3" t="s">
        <v>276</v>
      </c>
      <c r="G4" s="3" t="s">
        <v>277</v>
      </c>
      <c r="H4" s="3" t="s">
        <v>278</v>
      </c>
      <c r="I4" s="3" t="s">
        <v>279</v>
      </c>
    </row>
    <row r="5" spans="1:9" x14ac:dyDescent="0.3">
      <c r="A5" s="4" t="s">
        <v>280</v>
      </c>
      <c r="B5" s="4" t="s">
        <v>177</v>
      </c>
      <c r="C5" s="4" t="s">
        <v>281</v>
      </c>
      <c r="D5" s="4" t="s">
        <v>282</v>
      </c>
      <c r="E5" s="4" t="s">
        <v>283</v>
      </c>
      <c r="F5" s="4">
        <v>1</v>
      </c>
      <c r="G5" s="4" t="s">
        <v>284</v>
      </c>
      <c r="H5" s="9"/>
      <c r="I5" s="9"/>
    </row>
    <row r="6" spans="1:9" x14ac:dyDescent="0.3">
      <c r="A6" s="4" t="s">
        <v>285</v>
      </c>
      <c r="B6" s="4" t="s">
        <v>177</v>
      </c>
      <c r="C6" s="4" t="s">
        <v>286</v>
      </c>
      <c r="D6" s="4" t="s">
        <v>287</v>
      </c>
      <c r="E6" s="4" t="s">
        <v>288</v>
      </c>
      <c r="F6" s="4">
        <v>1</v>
      </c>
      <c r="G6" s="4" t="s">
        <v>289</v>
      </c>
      <c r="H6" s="9"/>
      <c r="I6" s="9"/>
    </row>
    <row r="7" spans="1:9" ht="26.4" x14ac:dyDescent="0.3">
      <c r="A7" s="4" t="s">
        <v>290</v>
      </c>
      <c r="B7" s="4" t="s">
        <v>177</v>
      </c>
      <c r="C7" s="4" t="s">
        <v>291</v>
      </c>
      <c r="D7" s="4" t="s">
        <v>292</v>
      </c>
      <c r="E7" s="4" t="s">
        <v>293</v>
      </c>
      <c r="F7" s="4">
        <v>2</v>
      </c>
      <c r="G7" s="4" t="s">
        <v>294</v>
      </c>
      <c r="H7" s="9"/>
      <c r="I7" s="9"/>
    </row>
    <row r="8" spans="1:9" x14ac:dyDescent="0.3">
      <c r="A8" s="4" t="s">
        <v>295</v>
      </c>
      <c r="B8" s="4" t="s">
        <v>177</v>
      </c>
      <c r="C8" s="4" t="s">
        <v>296</v>
      </c>
      <c r="D8" s="4" t="s">
        <v>297</v>
      </c>
      <c r="E8" s="4" t="s">
        <v>298</v>
      </c>
      <c r="F8" s="4">
        <v>2</v>
      </c>
      <c r="G8" s="4" t="s">
        <v>98</v>
      </c>
      <c r="H8" s="9"/>
      <c r="I8" s="9"/>
    </row>
    <row r="9" spans="1:9" ht="26.4" x14ac:dyDescent="0.3">
      <c r="A9" s="4" t="s">
        <v>299</v>
      </c>
      <c r="B9" s="4" t="s">
        <v>177</v>
      </c>
      <c r="C9" s="4" t="s">
        <v>300</v>
      </c>
      <c r="D9" s="4" t="s">
        <v>301</v>
      </c>
      <c r="E9" s="4" t="s">
        <v>302</v>
      </c>
      <c r="F9" s="4">
        <v>3</v>
      </c>
      <c r="G9" s="4" t="s">
        <v>303</v>
      </c>
      <c r="H9" s="9"/>
      <c r="I9" s="9"/>
    </row>
    <row r="10" spans="1:9" x14ac:dyDescent="0.3">
      <c r="A10" s="4" t="s">
        <v>304</v>
      </c>
      <c r="B10" s="4" t="s">
        <v>177</v>
      </c>
      <c r="C10" s="4" t="s">
        <v>305</v>
      </c>
      <c r="D10" s="4" t="s">
        <v>306</v>
      </c>
      <c r="E10" s="4" t="s">
        <v>307</v>
      </c>
      <c r="F10" s="4">
        <v>3</v>
      </c>
      <c r="G10" s="4" t="s">
        <v>308</v>
      </c>
      <c r="H10" s="9"/>
      <c r="I10" s="9"/>
    </row>
    <row r="11" spans="1:9" x14ac:dyDescent="0.3">
      <c r="A11" s="4" t="s">
        <v>309</v>
      </c>
      <c r="B11" s="4" t="s">
        <v>177</v>
      </c>
      <c r="C11" s="4" t="s">
        <v>310</v>
      </c>
      <c r="D11" s="4" t="s">
        <v>203</v>
      </c>
      <c r="E11" s="4" t="s">
        <v>311</v>
      </c>
      <c r="F11" s="4">
        <v>1</v>
      </c>
      <c r="G11" s="4" t="s">
        <v>98</v>
      </c>
      <c r="H11" s="9"/>
      <c r="I11" s="9"/>
    </row>
    <row r="12" spans="1:9" x14ac:dyDescent="0.3">
      <c r="A12" s="4" t="s">
        <v>312</v>
      </c>
      <c r="B12" s="4" t="s">
        <v>177</v>
      </c>
      <c r="C12" s="4" t="s">
        <v>313</v>
      </c>
      <c r="D12" s="4" t="s">
        <v>314</v>
      </c>
      <c r="E12" s="4" t="s">
        <v>315</v>
      </c>
      <c r="F12" s="4">
        <v>2</v>
      </c>
      <c r="G12" s="4" t="s">
        <v>316</v>
      </c>
      <c r="H12" s="9"/>
      <c r="I12" s="9"/>
    </row>
    <row r="13" spans="1:9" x14ac:dyDescent="0.3">
      <c r="A13" s="4" t="s">
        <v>317</v>
      </c>
      <c r="B13" s="4" t="s">
        <v>205</v>
      </c>
      <c r="C13" s="4" t="s">
        <v>318</v>
      </c>
      <c r="D13" s="4" t="s">
        <v>319</v>
      </c>
      <c r="E13" s="4" t="s">
        <v>320</v>
      </c>
      <c r="F13" s="4">
        <v>1</v>
      </c>
      <c r="G13" s="4" t="s">
        <v>98</v>
      </c>
      <c r="H13" s="9"/>
      <c r="I13" s="9"/>
    </row>
    <row r="14" spans="1:9" x14ac:dyDescent="0.3">
      <c r="A14" s="4" t="s">
        <v>321</v>
      </c>
      <c r="B14" s="4" t="s">
        <v>205</v>
      </c>
      <c r="C14" s="4" t="s">
        <v>322</v>
      </c>
      <c r="D14" s="4" t="s">
        <v>215</v>
      </c>
      <c r="E14" s="4" t="s">
        <v>323</v>
      </c>
      <c r="F14" s="4">
        <v>2</v>
      </c>
      <c r="G14" s="4" t="s">
        <v>324</v>
      </c>
      <c r="H14" s="9"/>
      <c r="I14" s="9"/>
    </row>
    <row r="15" spans="1:9" ht="26.4" x14ac:dyDescent="0.3">
      <c r="A15" s="4" t="s">
        <v>325</v>
      </c>
      <c r="B15" s="4" t="s">
        <v>205</v>
      </c>
      <c r="C15" s="4" t="s">
        <v>326</v>
      </c>
      <c r="D15" s="4" t="s">
        <v>327</v>
      </c>
      <c r="E15" s="4" t="s">
        <v>328</v>
      </c>
      <c r="F15" s="4">
        <v>3</v>
      </c>
      <c r="G15" s="4" t="s">
        <v>221</v>
      </c>
      <c r="H15" s="9"/>
      <c r="I15" s="9"/>
    </row>
    <row r="16" spans="1:9" x14ac:dyDescent="0.3">
      <c r="A16" s="4" t="s">
        <v>329</v>
      </c>
      <c r="B16" s="4" t="s">
        <v>205</v>
      </c>
      <c r="C16" s="4" t="s">
        <v>330</v>
      </c>
      <c r="D16" s="4" t="s">
        <v>331</v>
      </c>
      <c r="E16" s="4" t="s">
        <v>332</v>
      </c>
      <c r="F16" s="4">
        <v>1</v>
      </c>
      <c r="G16" s="4" t="s">
        <v>98</v>
      </c>
      <c r="H16" s="9"/>
      <c r="I16" s="9"/>
    </row>
    <row r="17" spans="1:9" x14ac:dyDescent="0.3">
      <c r="A17" s="4" t="s">
        <v>333</v>
      </c>
      <c r="B17" s="4" t="s">
        <v>222</v>
      </c>
      <c r="C17" s="4" t="s">
        <v>334</v>
      </c>
      <c r="D17" s="4" t="s">
        <v>335</v>
      </c>
      <c r="E17" s="4" t="s">
        <v>336</v>
      </c>
      <c r="F17" s="4">
        <v>2</v>
      </c>
      <c r="G17" s="4" t="s">
        <v>337</v>
      </c>
      <c r="H17" s="9"/>
      <c r="I17" s="9"/>
    </row>
    <row r="18" spans="1:9" x14ac:dyDescent="0.3">
      <c r="A18" s="4" t="s">
        <v>338</v>
      </c>
      <c r="B18" s="4" t="s">
        <v>222</v>
      </c>
      <c r="C18" s="4" t="s">
        <v>339</v>
      </c>
      <c r="D18" s="4" t="s">
        <v>340</v>
      </c>
      <c r="E18" s="4" t="s">
        <v>341</v>
      </c>
      <c r="F18" s="4">
        <v>3</v>
      </c>
      <c r="G18" s="4" t="s">
        <v>49</v>
      </c>
      <c r="H18" s="9"/>
      <c r="I18" s="9"/>
    </row>
    <row r="19" spans="1:9" x14ac:dyDescent="0.3">
      <c r="A19" s="4" t="s">
        <v>342</v>
      </c>
      <c r="B19" s="4" t="s">
        <v>222</v>
      </c>
      <c r="C19" s="4" t="s">
        <v>343</v>
      </c>
      <c r="D19" s="4" t="s">
        <v>344</v>
      </c>
      <c r="E19" s="4" t="s">
        <v>345</v>
      </c>
      <c r="F19" s="4">
        <v>2</v>
      </c>
      <c r="G19" s="4" t="s">
        <v>346</v>
      </c>
      <c r="H19" s="9"/>
      <c r="I19" s="9"/>
    </row>
    <row r="20" spans="1:9" ht="26.4" x14ac:dyDescent="0.3">
      <c r="A20" s="4" t="s">
        <v>347</v>
      </c>
      <c r="B20" s="4" t="s">
        <v>222</v>
      </c>
      <c r="C20" s="4" t="s">
        <v>348</v>
      </c>
      <c r="D20" s="4" t="s">
        <v>349</v>
      </c>
      <c r="E20" s="4" t="s">
        <v>350</v>
      </c>
      <c r="F20" s="4">
        <v>2</v>
      </c>
      <c r="G20" s="4" t="s">
        <v>221</v>
      </c>
      <c r="H20" s="9"/>
      <c r="I20" s="9"/>
    </row>
    <row r="21" spans="1:9" x14ac:dyDescent="0.3">
      <c r="A21" s="4" t="s">
        <v>351</v>
      </c>
      <c r="B21" s="4" t="s">
        <v>222</v>
      </c>
      <c r="C21" s="4" t="s">
        <v>352</v>
      </c>
      <c r="D21" s="4" t="s">
        <v>353</v>
      </c>
      <c r="E21" s="4" t="s">
        <v>354</v>
      </c>
      <c r="F21" s="4">
        <v>2</v>
      </c>
      <c r="G21" s="4" t="s">
        <v>355</v>
      </c>
      <c r="H21" s="9"/>
      <c r="I21" s="9"/>
    </row>
    <row r="22" spans="1:9" x14ac:dyDescent="0.3">
      <c r="A22" s="4" t="s">
        <v>356</v>
      </c>
      <c r="B22" s="4" t="s">
        <v>222</v>
      </c>
      <c r="C22" s="4" t="s">
        <v>357</v>
      </c>
      <c r="D22" s="4" t="s">
        <v>358</v>
      </c>
      <c r="E22" s="4" t="s">
        <v>359</v>
      </c>
      <c r="F22" s="4">
        <v>3</v>
      </c>
      <c r="G22" s="4" t="s">
        <v>308</v>
      </c>
      <c r="H22" s="9"/>
      <c r="I22" s="9"/>
    </row>
    <row r="23" spans="1:9" x14ac:dyDescent="0.3">
      <c r="A23" s="4" t="s">
        <v>360</v>
      </c>
      <c r="B23" s="4" t="s">
        <v>247</v>
      </c>
      <c r="C23" s="4" t="s">
        <v>361</v>
      </c>
      <c r="D23" s="4" t="s">
        <v>362</v>
      </c>
      <c r="E23" s="4" t="s">
        <v>363</v>
      </c>
      <c r="F23" s="4">
        <v>1</v>
      </c>
      <c r="G23" s="4" t="s">
        <v>98</v>
      </c>
      <c r="H23" s="9"/>
      <c r="I23" s="9"/>
    </row>
    <row r="24" spans="1:9" x14ac:dyDescent="0.3">
      <c r="A24" s="4" t="s">
        <v>364</v>
      </c>
      <c r="B24" s="4" t="s">
        <v>247</v>
      </c>
      <c r="C24" s="4" t="s">
        <v>365</v>
      </c>
      <c r="D24" s="4" t="s">
        <v>366</v>
      </c>
      <c r="E24" s="4" t="s">
        <v>367</v>
      </c>
      <c r="F24" s="4">
        <v>1</v>
      </c>
      <c r="G24" s="4" t="s">
        <v>98</v>
      </c>
      <c r="H24" s="9"/>
      <c r="I24" s="9"/>
    </row>
    <row r="25" spans="1:9" x14ac:dyDescent="0.3">
      <c r="A25" s="4" t="s">
        <v>368</v>
      </c>
      <c r="B25" s="4" t="s">
        <v>247</v>
      </c>
      <c r="C25" s="4" t="s">
        <v>369</v>
      </c>
      <c r="D25" s="4" t="s">
        <v>370</v>
      </c>
      <c r="E25" s="4" t="s">
        <v>371</v>
      </c>
      <c r="F25" s="4">
        <v>2</v>
      </c>
      <c r="G25" s="4" t="s">
        <v>372</v>
      </c>
      <c r="H25" s="9"/>
      <c r="I25" s="9"/>
    </row>
    <row r="26" spans="1:9" x14ac:dyDescent="0.3">
      <c r="A26" s="4" t="s">
        <v>373</v>
      </c>
      <c r="B26" s="4" t="s">
        <v>374</v>
      </c>
      <c r="C26" s="4" t="s">
        <v>375</v>
      </c>
      <c r="D26" s="4" t="s">
        <v>376</v>
      </c>
      <c r="E26" s="4" t="s">
        <v>377</v>
      </c>
      <c r="F26" s="4">
        <v>3</v>
      </c>
      <c r="G26" s="4" t="s">
        <v>49</v>
      </c>
      <c r="H26" s="9"/>
      <c r="I26" s="9"/>
    </row>
    <row r="27" spans="1:9" x14ac:dyDescent="0.3">
      <c r="A27" s="4" t="s">
        <v>378</v>
      </c>
      <c r="B27" s="4" t="s">
        <v>374</v>
      </c>
      <c r="C27" s="4" t="s">
        <v>379</v>
      </c>
      <c r="D27" s="4" t="s">
        <v>380</v>
      </c>
      <c r="E27" s="4" t="s">
        <v>381</v>
      </c>
      <c r="F27" s="4">
        <v>2</v>
      </c>
      <c r="G27" s="4" t="s">
        <v>130</v>
      </c>
      <c r="H27" s="9"/>
      <c r="I27" s="9"/>
    </row>
    <row r="28" spans="1:9" x14ac:dyDescent="0.3">
      <c r="A28" s="4" t="s">
        <v>382</v>
      </c>
      <c r="B28" s="4" t="s">
        <v>374</v>
      </c>
      <c r="C28" s="4" t="s">
        <v>383</v>
      </c>
      <c r="D28" s="4" t="s">
        <v>384</v>
      </c>
      <c r="E28" s="4" t="s">
        <v>385</v>
      </c>
      <c r="F28" s="4">
        <v>1</v>
      </c>
      <c r="G28" s="4" t="s">
        <v>130</v>
      </c>
      <c r="H28" s="9"/>
      <c r="I28" s="9"/>
    </row>
    <row r="29" spans="1:9" ht="26.4" x14ac:dyDescent="0.3">
      <c r="A29" s="4" t="s">
        <v>386</v>
      </c>
      <c r="B29" s="4" t="s">
        <v>374</v>
      </c>
      <c r="C29" s="4" t="s">
        <v>387</v>
      </c>
      <c r="D29" s="4" t="s">
        <v>388</v>
      </c>
      <c r="E29" s="4" t="s">
        <v>389</v>
      </c>
      <c r="F29" s="4">
        <v>2</v>
      </c>
      <c r="G29" s="4" t="s">
        <v>390</v>
      </c>
      <c r="H29" s="9"/>
      <c r="I29" s="9"/>
    </row>
    <row r="31" spans="1:9" x14ac:dyDescent="0.3">
      <c r="A31" s="5" t="s">
        <v>391</v>
      </c>
    </row>
    <row r="32" spans="1:9" x14ac:dyDescent="0.3">
      <c r="A32" s="10" t="s">
        <v>153</v>
      </c>
      <c r="B32" s="10" t="s">
        <v>392</v>
      </c>
      <c r="C32" s="10" t="s">
        <v>393</v>
      </c>
      <c r="D32" s="10" t="s">
        <v>394</v>
      </c>
    </row>
    <row r="33" spans="1:4" x14ac:dyDescent="0.3">
      <c r="A33" s="11" t="s">
        <v>177</v>
      </c>
      <c r="B33" s="11">
        <f>COUNTIF($B$5:$B$29,A33)</f>
        <v>8</v>
      </c>
      <c r="C33" s="11">
        <f>COUNTIFS($B$5:$B$29,A33,$H$5:$H$29,"Có")</f>
        <v>0</v>
      </c>
      <c r="D33" s="12">
        <f>IF(B33=0,"",C33/B33)</f>
        <v>0</v>
      </c>
    </row>
    <row r="34" spans="1:4" x14ac:dyDescent="0.3">
      <c r="A34" s="11" t="s">
        <v>205</v>
      </c>
      <c r="B34" s="11">
        <f>COUNTIF($B$5:$B$29,A34)</f>
        <v>4</v>
      </c>
      <c r="C34" s="11">
        <f>COUNTIFS($B$5:$B$29,A34,$H$5:$H$29,"Có")</f>
        <v>0</v>
      </c>
      <c r="D34" s="12">
        <f>IF(B34=0,"",C34/B34)</f>
        <v>0</v>
      </c>
    </row>
    <row r="35" spans="1:4" x14ac:dyDescent="0.3">
      <c r="A35" s="11" t="s">
        <v>222</v>
      </c>
      <c r="B35" s="11">
        <f>COUNTIF($B$5:$B$29,A35)</f>
        <v>6</v>
      </c>
      <c r="C35" s="11">
        <f>COUNTIFS($B$5:$B$29,A35,$H$5:$H$29,"Có")</f>
        <v>0</v>
      </c>
      <c r="D35" s="12">
        <f>IF(B35=0,"",C35/B35)</f>
        <v>0</v>
      </c>
    </row>
    <row r="36" spans="1:4" x14ac:dyDescent="0.3">
      <c r="A36" s="11" t="s">
        <v>247</v>
      </c>
      <c r="B36" s="11">
        <f>COUNTIF($B$5:$B$29,A36)</f>
        <v>3</v>
      </c>
      <c r="C36" s="11">
        <f>COUNTIFS($B$5:$B$29,A36,$H$5:$H$29,"Có")</f>
        <v>0</v>
      </c>
      <c r="D36" s="12">
        <f>IF(B36=0,"",C36/B36)</f>
        <v>0</v>
      </c>
    </row>
    <row r="37" spans="1:4" x14ac:dyDescent="0.3">
      <c r="A37" s="11" t="s">
        <v>374</v>
      </c>
      <c r="B37" s="11">
        <f>COUNTIF($B$5:$B$29,A37)</f>
        <v>4</v>
      </c>
      <c r="C37" s="11">
        <f>COUNTIFS($B$5:$B$29,A37,$H$5:$H$29,"Có")</f>
        <v>0</v>
      </c>
      <c r="D37" s="12">
        <f>IF(B37=0,"",C37/B37)</f>
        <v>0</v>
      </c>
    </row>
  </sheetData>
  <autoFilter ref="A4:I29" xr:uid="{00000000-0009-0000-0000-000003000000}"/>
  <dataValidations count="1">
    <dataValidation type="list" allowBlank="1" sqref="H5 H6 H7 H8 H9 H10 H11 H12 H13 H14 H15 H16 H17 H18 H19 H20 H21 H22 H23 H24 H25 H26 H27 H28 H29" xr:uid="{00000000-0002-0000-0300-000000000000}">
      <formula1>"Có,Không"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sheetPr>
  <dimension ref="A1:G21"/>
  <sheetViews>
    <sheetView showGridLines="0" workbookViewId="0"/>
  </sheetViews>
  <sheetFormatPr defaultRowHeight="14.4" x14ac:dyDescent="0.3"/>
  <cols>
    <col min="1" max="1" width="7" customWidth="1"/>
    <col min="2" max="2" width="24" customWidth="1"/>
    <col min="3" max="3" width="40" customWidth="1"/>
    <col min="4" max="4" width="30" customWidth="1"/>
    <col min="5" max="5" width="26" customWidth="1"/>
    <col min="6" max="6" width="14" customWidth="1"/>
    <col min="7" max="7" width="40" customWidth="1"/>
  </cols>
  <sheetData>
    <row r="1" spans="1:7" ht="17.399999999999999" x14ac:dyDescent="0.3">
      <c r="A1" s="1" t="s">
        <v>395</v>
      </c>
    </row>
    <row r="2" spans="1:7" x14ac:dyDescent="0.3">
      <c r="A2" s="2" t="s">
        <v>396</v>
      </c>
    </row>
    <row r="4" spans="1:7" x14ac:dyDescent="0.3">
      <c r="A4" s="3" t="s">
        <v>272</v>
      </c>
      <c r="B4" s="3" t="s">
        <v>397</v>
      </c>
      <c r="C4" s="3" t="s">
        <v>398</v>
      </c>
      <c r="D4" s="3" t="s">
        <v>399</v>
      </c>
      <c r="E4" s="3" t="s">
        <v>400</v>
      </c>
      <c r="F4" s="3" t="s">
        <v>401</v>
      </c>
      <c r="G4" s="3" t="s">
        <v>402</v>
      </c>
    </row>
    <row r="5" spans="1:7" ht="26.4" x14ac:dyDescent="0.3">
      <c r="A5" s="4" t="s">
        <v>403</v>
      </c>
      <c r="B5" s="4" t="s">
        <v>404</v>
      </c>
      <c r="C5" s="4" t="s">
        <v>405</v>
      </c>
      <c r="D5" s="4" t="s">
        <v>406</v>
      </c>
      <c r="E5" s="4" t="s">
        <v>407</v>
      </c>
      <c r="F5" s="4" t="s">
        <v>408</v>
      </c>
      <c r="G5" s="4" t="s">
        <v>409</v>
      </c>
    </row>
    <row r="6" spans="1:7" ht="26.4" x14ac:dyDescent="0.3">
      <c r="A6" s="4" t="s">
        <v>410</v>
      </c>
      <c r="B6" s="4" t="s">
        <v>390</v>
      </c>
      <c r="C6" s="4" t="s">
        <v>411</v>
      </c>
      <c r="D6" s="4" t="s">
        <v>412</v>
      </c>
      <c r="E6" s="4" t="s">
        <v>413</v>
      </c>
      <c r="F6" s="4" t="s">
        <v>414</v>
      </c>
      <c r="G6" s="4" t="s">
        <v>415</v>
      </c>
    </row>
    <row r="7" spans="1:7" ht="26.4" x14ac:dyDescent="0.3">
      <c r="A7" s="4" t="s">
        <v>416</v>
      </c>
      <c r="B7" s="4" t="s">
        <v>417</v>
      </c>
      <c r="C7" s="4" t="s">
        <v>418</v>
      </c>
      <c r="D7" s="4" t="s">
        <v>163</v>
      </c>
      <c r="E7" s="4" t="s">
        <v>419</v>
      </c>
      <c r="F7" s="4" t="s">
        <v>414</v>
      </c>
      <c r="G7" s="4" t="s">
        <v>420</v>
      </c>
    </row>
    <row r="8" spans="1:7" ht="26.4" x14ac:dyDescent="0.3">
      <c r="A8" s="4" t="s">
        <v>421</v>
      </c>
      <c r="B8" s="4" t="s">
        <v>422</v>
      </c>
      <c r="C8" s="4" t="s">
        <v>423</v>
      </c>
      <c r="D8" s="4" t="s">
        <v>424</v>
      </c>
      <c r="E8" s="4" t="s">
        <v>425</v>
      </c>
      <c r="F8" s="4" t="s">
        <v>414</v>
      </c>
      <c r="G8" s="4" t="s">
        <v>426</v>
      </c>
    </row>
    <row r="9" spans="1:7" ht="39.6" x14ac:dyDescent="0.3">
      <c r="A9" s="4" t="s">
        <v>427</v>
      </c>
      <c r="B9" s="4" t="s">
        <v>428</v>
      </c>
      <c r="C9" s="4" t="s">
        <v>429</v>
      </c>
      <c r="D9" s="4" t="s">
        <v>430</v>
      </c>
      <c r="E9" s="4" t="s">
        <v>431</v>
      </c>
      <c r="F9" s="4" t="s">
        <v>408</v>
      </c>
      <c r="G9" s="4" t="s">
        <v>432</v>
      </c>
    </row>
    <row r="10" spans="1:7" ht="26.4" x14ac:dyDescent="0.3">
      <c r="A10" s="4" t="s">
        <v>433</v>
      </c>
      <c r="B10" s="4" t="s">
        <v>434</v>
      </c>
      <c r="C10" s="4" t="s">
        <v>435</v>
      </c>
      <c r="D10" s="4" t="s">
        <v>159</v>
      </c>
      <c r="E10" s="4" t="s">
        <v>436</v>
      </c>
      <c r="F10" s="4" t="s">
        <v>437</v>
      </c>
      <c r="G10" s="4" t="s">
        <v>438</v>
      </c>
    </row>
    <row r="11" spans="1:7" ht="26.4" x14ac:dyDescent="0.3">
      <c r="A11" s="4" t="s">
        <v>439</v>
      </c>
      <c r="B11" s="4" t="s">
        <v>440</v>
      </c>
      <c r="C11" s="4" t="s">
        <v>441</v>
      </c>
      <c r="D11" s="4" t="s">
        <v>442</v>
      </c>
      <c r="E11" s="4" t="s">
        <v>443</v>
      </c>
      <c r="F11" s="4" t="s">
        <v>408</v>
      </c>
      <c r="G11" s="4" t="s">
        <v>444</v>
      </c>
    </row>
    <row r="12" spans="1:7" ht="26.4" x14ac:dyDescent="0.3">
      <c r="A12" s="4" t="s">
        <v>445</v>
      </c>
      <c r="B12" s="4" t="s">
        <v>446</v>
      </c>
      <c r="C12" s="4" t="s">
        <v>447</v>
      </c>
      <c r="D12" s="4" t="s">
        <v>448</v>
      </c>
      <c r="E12" s="4" t="s">
        <v>449</v>
      </c>
      <c r="F12" s="4" t="s">
        <v>408</v>
      </c>
      <c r="G12" s="4" t="s">
        <v>450</v>
      </c>
    </row>
    <row r="13" spans="1:7" ht="26.4" x14ac:dyDescent="0.3">
      <c r="A13" s="4" t="s">
        <v>451</v>
      </c>
      <c r="B13" s="4" t="s">
        <v>452</v>
      </c>
      <c r="C13" s="4" t="s">
        <v>453</v>
      </c>
      <c r="D13" s="4" t="s">
        <v>454</v>
      </c>
      <c r="E13" s="4" t="s">
        <v>455</v>
      </c>
      <c r="F13" s="4" t="s">
        <v>456</v>
      </c>
      <c r="G13" s="4" t="s">
        <v>457</v>
      </c>
    </row>
    <row r="14" spans="1:7" x14ac:dyDescent="0.3">
      <c r="A14" s="4" t="s">
        <v>458</v>
      </c>
      <c r="B14" s="4" t="s">
        <v>459</v>
      </c>
      <c r="C14" s="4" t="s">
        <v>460</v>
      </c>
      <c r="D14" s="4" t="s">
        <v>461</v>
      </c>
      <c r="E14" s="4" t="s">
        <v>462</v>
      </c>
      <c r="F14" s="4" t="s">
        <v>463</v>
      </c>
      <c r="G14" s="4" t="s">
        <v>464</v>
      </c>
    </row>
    <row r="15" spans="1:7" x14ac:dyDescent="0.3">
      <c r="A15" s="4" t="s">
        <v>465</v>
      </c>
      <c r="B15" s="4" t="s">
        <v>466</v>
      </c>
      <c r="C15" s="4" t="s">
        <v>467</v>
      </c>
      <c r="D15" s="4" t="s">
        <v>468</v>
      </c>
      <c r="E15" s="4" t="s">
        <v>469</v>
      </c>
      <c r="F15" s="4" t="s">
        <v>408</v>
      </c>
      <c r="G15" s="4"/>
    </row>
    <row r="17" spans="1:3" x14ac:dyDescent="0.3">
      <c r="A17" s="5" t="s">
        <v>470</v>
      </c>
    </row>
    <row r="18" spans="1:3" ht="39.6" x14ac:dyDescent="0.3">
      <c r="A18" s="3" t="s">
        <v>471</v>
      </c>
      <c r="B18" s="3" t="s">
        <v>472</v>
      </c>
      <c r="C18" s="3" t="s">
        <v>39</v>
      </c>
    </row>
    <row r="19" spans="1:3" ht="39.6" x14ac:dyDescent="0.3">
      <c r="A19" s="4" t="s">
        <v>473</v>
      </c>
      <c r="B19" s="4" t="s">
        <v>474</v>
      </c>
      <c r="C19" s="4" t="s">
        <v>475</v>
      </c>
    </row>
    <row r="20" spans="1:3" ht="39.6" x14ac:dyDescent="0.3">
      <c r="A20" s="4" t="s">
        <v>476</v>
      </c>
      <c r="B20" s="4" t="s">
        <v>474</v>
      </c>
      <c r="C20" s="4" t="s">
        <v>477</v>
      </c>
    </row>
    <row r="21" spans="1:3" ht="66" x14ac:dyDescent="0.3">
      <c r="A21" s="4" t="s">
        <v>478</v>
      </c>
      <c r="B21" s="4" t="s">
        <v>479</v>
      </c>
      <c r="C21" s="4" t="s">
        <v>480</v>
      </c>
    </row>
  </sheetData>
  <autoFilter ref="A4:G1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H20"/>
  <sheetViews>
    <sheetView showGridLines="0" workbookViewId="0"/>
  </sheetViews>
  <sheetFormatPr defaultRowHeight="14.4" x14ac:dyDescent="0.3"/>
  <cols>
    <col min="1" max="1" width="6" customWidth="1"/>
    <col min="2" max="2" width="20" customWidth="1"/>
    <col min="3" max="3" width="44" customWidth="1"/>
    <col min="4" max="4" width="40" customWidth="1"/>
    <col min="5" max="5" width="22" customWidth="1"/>
    <col min="6" max="6" width="9" customWidth="1"/>
    <col min="7" max="7" width="10" customWidth="1"/>
    <col min="8" max="8" width="8" customWidth="1"/>
  </cols>
  <sheetData>
    <row r="1" spans="1:8" ht="17.399999999999999" x14ac:dyDescent="0.3">
      <c r="A1" s="1" t="s">
        <v>481</v>
      </c>
    </row>
    <row r="2" spans="1:8" x14ac:dyDescent="0.3">
      <c r="A2" s="2" t="s">
        <v>482</v>
      </c>
    </row>
    <row r="4" spans="1:8" x14ac:dyDescent="0.3">
      <c r="A4" s="3" t="s">
        <v>272</v>
      </c>
      <c r="B4" s="3" t="s">
        <v>483</v>
      </c>
      <c r="C4" s="3" t="s">
        <v>484</v>
      </c>
      <c r="D4" s="3" t="s">
        <v>485</v>
      </c>
      <c r="E4" s="3" t="s">
        <v>486</v>
      </c>
      <c r="F4" s="3" t="s">
        <v>487</v>
      </c>
      <c r="G4" s="3" t="s">
        <v>401</v>
      </c>
      <c r="H4" s="3" t="s">
        <v>488</v>
      </c>
    </row>
    <row r="5" spans="1:8" ht="26.4" x14ac:dyDescent="0.3">
      <c r="A5" s="4" t="s">
        <v>489</v>
      </c>
      <c r="B5" s="4" t="s">
        <v>490</v>
      </c>
      <c r="C5" s="4" t="s">
        <v>491</v>
      </c>
      <c r="D5" s="4" t="s">
        <v>165</v>
      </c>
      <c r="E5" s="4" t="s">
        <v>492</v>
      </c>
      <c r="F5" s="4" t="s">
        <v>493</v>
      </c>
      <c r="G5" s="4" t="s">
        <v>463</v>
      </c>
      <c r="H5" s="4">
        <v>2</v>
      </c>
    </row>
    <row r="6" spans="1:8" ht="66" x14ac:dyDescent="0.3">
      <c r="A6" s="4" t="s">
        <v>494</v>
      </c>
      <c r="B6" s="4" t="s">
        <v>495</v>
      </c>
      <c r="C6" s="4" t="s">
        <v>496</v>
      </c>
      <c r="D6" s="4" t="s">
        <v>497</v>
      </c>
      <c r="E6" s="4" t="s">
        <v>498</v>
      </c>
      <c r="F6" s="4" t="s">
        <v>493</v>
      </c>
      <c r="G6" s="4" t="s">
        <v>463</v>
      </c>
      <c r="H6" s="4">
        <v>2</v>
      </c>
    </row>
    <row r="7" spans="1:8" ht="26.4" x14ac:dyDescent="0.3">
      <c r="A7" s="4" t="s">
        <v>499</v>
      </c>
      <c r="B7" s="4" t="s">
        <v>500</v>
      </c>
      <c r="C7" s="4" t="s">
        <v>501</v>
      </c>
      <c r="D7" s="4" t="s">
        <v>502</v>
      </c>
      <c r="E7" s="4" t="s">
        <v>503</v>
      </c>
      <c r="F7" s="4" t="s">
        <v>493</v>
      </c>
      <c r="G7" s="4" t="s">
        <v>463</v>
      </c>
      <c r="H7" s="4">
        <v>3</v>
      </c>
    </row>
    <row r="8" spans="1:8" ht="39.6" x14ac:dyDescent="0.3">
      <c r="A8" s="4" t="s">
        <v>504</v>
      </c>
      <c r="B8" s="4" t="s">
        <v>505</v>
      </c>
      <c r="C8" s="4" t="s">
        <v>506</v>
      </c>
      <c r="D8" s="4" t="s">
        <v>507</v>
      </c>
      <c r="E8" s="4" t="s">
        <v>508</v>
      </c>
      <c r="F8" s="4" t="s">
        <v>493</v>
      </c>
      <c r="G8" s="4" t="s">
        <v>463</v>
      </c>
      <c r="H8" s="4">
        <v>3</v>
      </c>
    </row>
    <row r="9" spans="1:8" ht="26.4" x14ac:dyDescent="0.3">
      <c r="A9" s="4" t="s">
        <v>509</v>
      </c>
      <c r="B9" s="4" t="s">
        <v>510</v>
      </c>
      <c r="C9" s="4" t="s">
        <v>511</v>
      </c>
      <c r="D9" s="4" t="s">
        <v>512</v>
      </c>
      <c r="E9" s="4" t="s">
        <v>513</v>
      </c>
      <c r="F9" s="4" t="s">
        <v>493</v>
      </c>
      <c r="G9" s="4" t="s">
        <v>463</v>
      </c>
      <c r="H9" s="4">
        <v>3</v>
      </c>
    </row>
    <row r="10" spans="1:8" ht="26.4" x14ac:dyDescent="0.3">
      <c r="A10" s="4" t="s">
        <v>514</v>
      </c>
      <c r="B10" s="4" t="s">
        <v>515</v>
      </c>
      <c r="C10" s="4" t="s">
        <v>516</v>
      </c>
      <c r="D10" s="4" t="s">
        <v>517</v>
      </c>
      <c r="E10" s="4" t="s">
        <v>518</v>
      </c>
      <c r="F10" s="4" t="s">
        <v>519</v>
      </c>
      <c r="G10" s="4" t="s">
        <v>463</v>
      </c>
      <c r="H10" s="4">
        <v>4</v>
      </c>
    </row>
    <row r="11" spans="1:8" x14ac:dyDescent="0.3">
      <c r="A11" s="4" t="s">
        <v>520</v>
      </c>
      <c r="B11" s="4" t="s">
        <v>521</v>
      </c>
      <c r="C11" s="4" t="s">
        <v>522</v>
      </c>
      <c r="D11" s="4" t="s">
        <v>523</v>
      </c>
      <c r="E11" s="4" t="s">
        <v>165</v>
      </c>
      <c r="F11" s="4" t="s">
        <v>524</v>
      </c>
      <c r="G11" s="4" t="s">
        <v>463</v>
      </c>
      <c r="H11" s="4">
        <v>4</v>
      </c>
    </row>
    <row r="13" spans="1:8" x14ac:dyDescent="0.3">
      <c r="A13" s="5" t="s">
        <v>525</v>
      </c>
    </row>
    <row r="14" spans="1:8" ht="39.6" x14ac:dyDescent="0.3">
      <c r="A14" s="3" t="s">
        <v>526</v>
      </c>
      <c r="B14" s="3" t="s">
        <v>527</v>
      </c>
    </row>
    <row r="15" spans="1:8" ht="105.6" x14ac:dyDescent="0.3">
      <c r="A15" s="4" t="s">
        <v>528</v>
      </c>
      <c r="B15" s="4" t="s">
        <v>529</v>
      </c>
    </row>
    <row r="16" spans="1:8" ht="92.4" x14ac:dyDescent="0.3">
      <c r="A16" s="4" t="s">
        <v>530</v>
      </c>
      <c r="B16" s="4" t="s">
        <v>531</v>
      </c>
    </row>
    <row r="17" spans="1:2" ht="92.4" x14ac:dyDescent="0.3">
      <c r="A17" s="4" t="s">
        <v>532</v>
      </c>
      <c r="B17" s="4" t="s">
        <v>533</v>
      </c>
    </row>
    <row r="18" spans="1:2" ht="52.8" x14ac:dyDescent="0.3">
      <c r="A18" s="4" t="s">
        <v>534</v>
      </c>
      <c r="B18" s="4" t="s">
        <v>535</v>
      </c>
    </row>
    <row r="19" spans="1:2" ht="79.2" x14ac:dyDescent="0.3">
      <c r="A19" s="4" t="s">
        <v>536</v>
      </c>
      <c r="B19" s="4" t="s">
        <v>537</v>
      </c>
    </row>
    <row r="20" spans="1:2" ht="52.8" x14ac:dyDescent="0.3">
      <c r="A20" s="4" t="s">
        <v>538</v>
      </c>
      <c r="B20" s="4" t="s">
        <v>539</v>
      </c>
    </row>
  </sheetData>
  <autoFilter ref="A4:H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pageSetUpPr fitToPage="1"/>
  </sheetPr>
  <dimension ref="A1:L32"/>
  <sheetViews>
    <sheetView showGridLines="0" workbookViewId="0"/>
  </sheetViews>
  <sheetFormatPr defaultRowHeight="14.4" x14ac:dyDescent="0.3"/>
  <cols>
    <col min="1" max="1" width="16" customWidth="1"/>
    <col min="2" max="2" width="14" customWidth="1"/>
    <col min="3" max="5" width="10" customWidth="1"/>
    <col min="6" max="10" width="12" customWidth="1"/>
    <col min="11" max="11" width="14" customWidth="1"/>
    <col min="12" max="12" width="30" customWidth="1"/>
  </cols>
  <sheetData>
    <row r="1" spans="1:12" ht="17.399999999999999" x14ac:dyDescent="0.3">
      <c r="A1" s="1" t="s">
        <v>540</v>
      </c>
    </row>
    <row r="2" spans="1:12" x14ac:dyDescent="0.3">
      <c r="A2" s="2" t="s">
        <v>541</v>
      </c>
    </row>
    <row r="4" spans="1:12" ht="16.05" customHeight="1" x14ac:dyDescent="0.3">
      <c r="A4" s="3" t="s">
        <v>542</v>
      </c>
      <c r="B4" s="3" t="s">
        <v>543</v>
      </c>
      <c r="C4" s="24" t="s">
        <v>544</v>
      </c>
      <c r="D4" s="25"/>
      <c r="E4" s="25"/>
      <c r="F4" s="25"/>
      <c r="G4" s="25"/>
      <c r="H4" s="25"/>
      <c r="I4" s="25"/>
      <c r="J4" s="25"/>
      <c r="K4" s="24" t="s">
        <v>545</v>
      </c>
      <c r="L4" s="25"/>
    </row>
    <row r="5" spans="1:12" ht="28.05" customHeight="1" x14ac:dyDescent="0.3">
      <c r="A5" s="4" t="s">
        <v>546</v>
      </c>
      <c r="B5" s="4" t="s">
        <v>547</v>
      </c>
      <c r="C5" s="26" t="s">
        <v>548</v>
      </c>
      <c r="D5" s="27"/>
      <c r="E5" s="27"/>
      <c r="F5" s="27"/>
      <c r="G5" s="27"/>
      <c r="H5" s="27"/>
      <c r="I5" s="27"/>
      <c r="J5" s="27"/>
      <c r="K5" s="26" t="s">
        <v>549</v>
      </c>
      <c r="L5" s="27"/>
    </row>
    <row r="6" spans="1:12" ht="28.05" customHeight="1" x14ac:dyDescent="0.3">
      <c r="A6" s="4" t="s">
        <v>550</v>
      </c>
      <c r="B6" s="4" t="s">
        <v>547</v>
      </c>
      <c r="C6" s="26" t="s">
        <v>551</v>
      </c>
      <c r="D6" s="27"/>
      <c r="E6" s="27"/>
      <c r="F6" s="27"/>
      <c r="G6" s="27"/>
      <c r="H6" s="27"/>
      <c r="I6" s="27"/>
      <c r="J6" s="27"/>
      <c r="K6" s="26" t="s">
        <v>552</v>
      </c>
      <c r="L6" s="27"/>
    </row>
    <row r="7" spans="1:12" ht="28.05" customHeight="1" x14ac:dyDescent="0.3">
      <c r="A7" s="4" t="s">
        <v>553</v>
      </c>
      <c r="B7" s="4" t="s">
        <v>153</v>
      </c>
      <c r="C7" s="26" t="s">
        <v>554</v>
      </c>
      <c r="D7" s="27"/>
      <c r="E7" s="27"/>
      <c r="F7" s="27"/>
      <c r="G7" s="27"/>
      <c r="H7" s="27"/>
      <c r="I7" s="27"/>
      <c r="J7" s="27"/>
      <c r="K7" s="26" t="s">
        <v>552</v>
      </c>
      <c r="L7" s="27"/>
    </row>
    <row r="8" spans="1:12" ht="28.05" customHeight="1" x14ac:dyDescent="0.3">
      <c r="A8" s="4" t="s">
        <v>555</v>
      </c>
      <c r="B8" s="4" t="s">
        <v>153</v>
      </c>
      <c r="C8" s="26" t="s">
        <v>556</v>
      </c>
      <c r="D8" s="27"/>
      <c r="E8" s="27"/>
      <c r="F8" s="27"/>
      <c r="G8" s="27"/>
      <c r="H8" s="27"/>
      <c r="I8" s="27"/>
      <c r="J8" s="27"/>
      <c r="K8" s="26" t="s">
        <v>552</v>
      </c>
      <c r="L8" s="27"/>
    </row>
    <row r="9" spans="1:12" ht="28.05" customHeight="1" x14ac:dyDescent="0.3">
      <c r="A9" s="4" t="s">
        <v>557</v>
      </c>
      <c r="B9" s="4" t="s">
        <v>558</v>
      </c>
      <c r="C9" s="26" t="s">
        <v>559</v>
      </c>
      <c r="D9" s="27"/>
      <c r="E9" s="27"/>
      <c r="F9" s="27"/>
      <c r="G9" s="27"/>
      <c r="H9" s="27"/>
      <c r="I9" s="27"/>
      <c r="J9" s="27"/>
      <c r="K9" s="26" t="s">
        <v>552</v>
      </c>
      <c r="L9" s="27"/>
    </row>
    <row r="10" spans="1:12" ht="28.05" customHeight="1" x14ac:dyDescent="0.3">
      <c r="A10" s="4" t="s">
        <v>560</v>
      </c>
      <c r="B10" s="4" t="s">
        <v>561</v>
      </c>
      <c r="C10" s="26" t="s">
        <v>562</v>
      </c>
      <c r="D10" s="27"/>
      <c r="E10" s="27"/>
      <c r="F10" s="27"/>
      <c r="G10" s="27"/>
      <c r="H10" s="27"/>
      <c r="I10" s="27"/>
      <c r="J10" s="27"/>
      <c r="K10" s="26" t="s">
        <v>563</v>
      </c>
      <c r="L10" s="27"/>
    </row>
    <row r="11" spans="1:12" ht="28.05" customHeight="1" x14ac:dyDescent="0.3">
      <c r="A11" s="4" t="s">
        <v>564</v>
      </c>
      <c r="B11" s="4" t="s">
        <v>265</v>
      </c>
      <c r="C11" s="26" t="s">
        <v>565</v>
      </c>
      <c r="D11" s="27"/>
      <c r="E11" s="27"/>
      <c r="F11" s="27"/>
      <c r="G11" s="27"/>
      <c r="H11" s="27"/>
      <c r="I11" s="27"/>
      <c r="J11" s="27"/>
      <c r="K11" s="26" t="s">
        <v>566</v>
      </c>
      <c r="L11" s="27"/>
    </row>
    <row r="13" spans="1:12" x14ac:dyDescent="0.3">
      <c r="A13" s="5" t="s">
        <v>567</v>
      </c>
    </row>
    <row r="14" spans="1:12" ht="26.4" x14ac:dyDescent="0.3">
      <c r="A14" s="3" t="s">
        <v>265</v>
      </c>
      <c r="B14" s="3" t="s">
        <v>153</v>
      </c>
      <c r="C14" s="3" t="s">
        <v>568</v>
      </c>
      <c r="D14" s="3" t="s">
        <v>569</v>
      </c>
      <c r="E14" s="3" t="s">
        <v>570</v>
      </c>
      <c r="F14" s="3" t="s">
        <v>571</v>
      </c>
      <c r="G14" s="3" t="s">
        <v>572</v>
      </c>
      <c r="H14" s="3" t="s">
        <v>573</v>
      </c>
      <c r="I14" s="3" t="s">
        <v>574</v>
      </c>
      <c r="J14" s="3" t="s">
        <v>575</v>
      </c>
      <c r="K14" s="3" t="s">
        <v>576</v>
      </c>
      <c r="L14" s="3" t="s">
        <v>577</v>
      </c>
    </row>
    <row r="15" spans="1:12" x14ac:dyDescent="0.3">
      <c r="A15" s="13" t="s">
        <v>578</v>
      </c>
      <c r="B15" s="13" t="s">
        <v>177</v>
      </c>
      <c r="C15" s="13">
        <v>8</v>
      </c>
      <c r="D15" s="13">
        <v>1</v>
      </c>
      <c r="E15" s="13">
        <v>2</v>
      </c>
      <c r="F15" s="14">
        <f t="shared" ref="F15:F27" si="0">IF(C15+D15=0,"",C15/(C15+D15))</f>
        <v>0.88888888888888884</v>
      </c>
      <c r="G15" s="14">
        <f t="shared" ref="G15:G27" si="1">IF(C15+E15=0,"",C15/(C15+E15))</f>
        <v>0.8</v>
      </c>
      <c r="H15" s="14">
        <f t="shared" ref="H15:H27" si="2">IF(OR(F15="",G15=""),"",IF(F15+G15=0,0,2*F15*G15/(F15+G15)))</f>
        <v>0.8421052631578948</v>
      </c>
      <c r="I15" s="13">
        <v>7</v>
      </c>
      <c r="J15" s="13">
        <v>10</v>
      </c>
      <c r="K15" s="14">
        <f t="shared" ref="K15:K27" si="3">IF(OR(J15="",J15=0),"",I15/J15)</f>
        <v>0.7</v>
      </c>
      <c r="L15" s="13" t="s">
        <v>579</v>
      </c>
    </row>
    <row r="16" spans="1:12" x14ac:dyDescent="0.3">
      <c r="A16" s="11" t="s">
        <v>98</v>
      </c>
      <c r="B16" s="11" t="s">
        <v>177</v>
      </c>
      <c r="C16" s="15"/>
      <c r="D16" s="15"/>
      <c r="E16" s="15"/>
      <c r="F16" s="16" t="str">
        <f t="shared" si="0"/>
        <v/>
      </c>
      <c r="G16" s="16" t="str">
        <f t="shared" si="1"/>
        <v/>
      </c>
      <c r="H16" s="16" t="str">
        <f t="shared" si="2"/>
        <v/>
      </c>
      <c r="I16" s="15"/>
      <c r="J16" s="15"/>
      <c r="K16" s="16" t="str">
        <f t="shared" si="3"/>
        <v/>
      </c>
      <c r="L16" s="11"/>
    </row>
    <row r="17" spans="1:12" x14ac:dyDescent="0.3">
      <c r="A17" s="11" t="s">
        <v>98</v>
      </c>
      <c r="B17" s="11" t="s">
        <v>205</v>
      </c>
      <c r="C17" s="15"/>
      <c r="D17" s="15"/>
      <c r="E17" s="15"/>
      <c r="F17" s="16" t="str">
        <f t="shared" si="0"/>
        <v/>
      </c>
      <c r="G17" s="16" t="str">
        <f t="shared" si="1"/>
        <v/>
      </c>
      <c r="H17" s="16" t="str">
        <f t="shared" si="2"/>
        <v/>
      </c>
      <c r="I17" s="15"/>
      <c r="J17" s="15"/>
      <c r="K17" s="16" t="str">
        <f t="shared" si="3"/>
        <v/>
      </c>
      <c r="L17" s="11"/>
    </row>
    <row r="18" spans="1:12" x14ac:dyDescent="0.3">
      <c r="A18" s="11" t="s">
        <v>98</v>
      </c>
      <c r="B18" s="11" t="s">
        <v>222</v>
      </c>
      <c r="C18" s="15"/>
      <c r="D18" s="15"/>
      <c r="E18" s="15"/>
      <c r="F18" s="16" t="str">
        <f t="shared" si="0"/>
        <v/>
      </c>
      <c r="G18" s="16" t="str">
        <f t="shared" si="1"/>
        <v/>
      </c>
      <c r="H18" s="16" t="str">
        <f t="shared" si="2"/>
        <v/>
      </c>
      <c r="I18" s="15"/>
      <c r="J18" s="15"/>
      <c r="K18" s="16" t="str">
        <f t="shared" si="3"/>
        <v/>
      </c>
      <c r="L18" s="11"/>
    </row>
    <row r="19" spans="1:12" x14ac:dyDescent="0.3">
      <c r="A19" s="11" t="s">
        <v>98</v>
      </c>
      <c r="B19" s="11" t="s">
        <v>247</v>
      </c>
      <c r="C19" s="15"/>
      <c r="D19" s="15"/>
      <c r="E19" s="15"/>
      <c r="F19" s="16" t="str">
        <f t="shared" si="0"/>
        <v/>
      </c>
      <c r="G19" s="16" t="str">
        <f t="shared" si="1"/>
        <v/>
      </c>
      <c r="H19" s="16" t="str">
        <f t="shared" si="2"/>
        <v/>
      </c>
      <c r="I19" s="15"/>
      <c r="J19" s="15"/>
      <c r="K19" s="16" t="str">
        <f t="shared" si="3"/>
        <v/>
      </c>
      <c r="L19" s="11"/>
    </row>
    <row r="20" spans="1:12" x14ac:dyDescent="0.3">
      <c r="A20" s="11" t="s">
        <v>49</v>
      </c>
      <c r="B20" s="11" t="s">
        <v>177</v>
      </c>
      <c r="C20" s="15"/>
      <c r="D20" s="15"/>
      <c r="E20" s="15"/>
      <c r="F20" s="16" t="str">
        <f t="shared" si="0"/>
        <v/>
      </c>
      <c r="G20" s="16" t="str">
        <f t="shared" si="1"/>
        <v/>
      </c>
      <c r="H20" s="16" t="str">
        <f t="shared" si="2"/>
        <v/>
      </c>
      <c r="I20" s="15"/>
      <c r="J20" s="15"/>
      <c r="K20" s="16" t="str">
        <f t="shared" si="3"/>
        <v/>
      </c>
      <c r="L20" s="11"/>
    </row>
    <row r="21" spans="1:12" x14ac:dyDescent="0.3">
      <c r="A21" s="11" t="s">
        <v>49</v>
      </c>
      <c r="B21" s="11" t="s">
        <v>205</v>
      </c>
      <c r="C21" s="15"/>
      <c r="D21" s="15"/>
      <c r="E21" s="15"/>
      <c r="F21" s="16" t="str">
        <f t="shared" si="0"/>
        <v/>
      </c>
      <c r="G21" s="16" t="str">
        <f t="shared" si="1"/>
        <v/>
      </c>
      <c r="H21" s="16" t="str">
        <f t="shared" si="2"/>
        <v/>
      </c>
      <c r="I21" s="15"/>
      <c r="J21" s="15"/>
      <c r="K21" s="16" t="str">
        <f t="shared" si="3"/>
        <v/>
      </c>
      <c r="L21" s="11"/>
    </row>
    <row r="22" spans="1:12" x14ac:dyDescent="0.3">
      <c r="A22" s="11" t="s">
        <v>49</v>
      </c>
      <c r="B22" s="11" t="s">
        <v>222</v>
      </c>
      <c r="C22" s="15"/>
      <c r="D22" s="15"/>
      <c r="E22" s="15"/>
      <c r="F22" s="16" t="str">
        <f t="shared" si="0"/>
        <v/>
      </c>
      <c r="G22" s="16" t="str">
        <f t="shared" si="1"/>
        <v/>
      </c>
      <c r="H22" s="16" t="str">
        <f t="shared" si="2"/>
        <v/>
      </c>
      <c r="I22" s="15"/>
      <c r="J22" s="15"/>
      <c r="K22" s="16" t="str">
        <f t="shared" si="3"/>
        <v/>
      </c>
      <c r="L22" s="11"/>
    </row>
    <row r="23" spans="1:12" x14ac:dyDescent="0.3">
      <c r="A23" s="11" t="s">
        <v>49</v>
      </c>
      <c r="B23" s="11" t="s">
        <v>247</v>
      </c>
      <c r="C23" s="15"/>
      <c r="D23" s="15"/>
      <c r="E23" s="15"/>
      <c r="F23" s="16" t="str">
        <f t="shared" si="0"/>
        <v/>
      </c>
      <c r="G23" s="16" t="str">
        <f t="shared" si="1"/>
        <v/>
      </c>
      <c r="H23" s="16" t="str">
        <f t="shared" si="2"/>
        <v/>
      </c>
      <c r="I23" s="15"/>
      <c r="J23" s="15"/>
      <c r="K23" s="16" t="str">
        <f t="shared" si="3"/>
        <v/>
      </c>
      <c r="L23" s="11"/>
    </row>
    <row r="24" spans="1:12" x14ac:dyDescent="0.3">
      <c r="A24" s="11" t="s">
        <v>580</v>
      </c>
      <c r="B24" s="11" t="s">
        <v>177</v>
      </c>
      <c r="C24" s="15"/>
      <c r="D24" s="15"/>
      <c r="E24" s="15"/>
      <c r="F24" s="16" t="str">
        <f t="shared" si="0"/>
        <v/>
      </c>
      <c r="G24" s="16" t="str">
        <f t="shared" si="1"/>
        <v/>
      </c>
      <c r="H24" s="16" t="str">
        <f t="shared" si="2"/>
        <v/>
      </c>
      <c r="I24" s="15"/>
      <c r="J24" s="15"/>
      <c r="K24" s="16" t="str">
        <f t="shared" si="3"/>
        <v/>
      </c>
      <c r="L24" s="11"/>
    </row>
    <row r="25" spans="1:12" x14ac:dyDescent="0.3">
      <c r="A25" s="11" t="s">
        <v>580</v>
      </c>
      <c r="B25" s="11" t="s">
        <v>205</v>
      </c>
      <c r="C25" s="15"/>
      <c r="D25" s="15"/>
      <c r="E25" s="15"/>
      <c r="F25" s="16" t="str">
        <f t="shared" si="0"/>
        <v/>
      </c>
      <c r="G25" s="16" t="str">
        <f t="shared" si="1"/>
        <v/>
      </c>
      <c r="H25" s="16" t="str">
        <f t="shared" si="2"/>
        <v/>
      </c>
      <c r="I25" s="15"/>
      <c r="J25" s="15"/>
      <c r="K25" s="16" t="str">
        <f t="shared" si="3"/>
        <v/>
      </c>
      <c r="L25" s="11"/>
    </row>
    <row r="26" spans="1:12" x14ac:dyDescent="0.3">
      <c r="A26" s="11" t="s">
        <v>580</v>
      </c>
      <c r="B26" s="11" t="s">
        <v>222</v>
      </c>
      <c r="C26" s="15"/>
      <c r="D26" s="15"/>
      <c r="E26" s="15"/>
      <c r="F26" s="16" t="str">
        <f t="shared" si="0"/>
        <v/>
      </c>
      <c r="G26" s="16" t="str">
        <f t="shared" si="1"/>
        <v/>
      </c>
      <c r="H26" s="16" t="str">
        <f t="shared" si="2"/>
        <v/>
      </c>
      <c r="I26" s="15"/>
      <c r="J26" s="15"/>
      <c r="K26" s="16" t="str">
        <f t="shared" si="3"/>
        <v/>
      </c>
      <c r="L26" s="11"/>
    </row>
    <row r="27" spans="1:12" x14ac:dyDescent="0.3">
      <c r="A27" s="11" t="s">
        <v>580</v>
      </c>
      <c r="B27" s="11" t="s">
        <v>247</v>
      </c>
      <c r="C27" s="15"/>
      <c r="D27" s="15"/>
      <c r="E27" s="15"/>
      <c r="F27" s="16" t="str">
        <f t="shared" si="0"/>
        <v/>
      </c>
      <c r="G27" s="16" t="str">
        <f t="shared" si="1"/>
        <v/>
      </c>
      <c r="H27" s="16" t="str">
        <f t="shared" si="2"/>
        <v/>
      </c>
      <c r="I27" s="15"/>
      <c r="J27" s="15"/>
      <c r="K27" s="16" t="str">
        <f t="shared" si="3"/>
        <v/>
      </c>
      <c r="L27" s="11"/>
    </row>
    <row r="29" spans="1:12" x14ac:dyDescent="0.3">
      <c r="A29" s="5" t="s">
        <v>581</v>
      </c>
    </row>
    <row r="30" spans="1:12" x14ac:dyDescent="0.3">
      <c r="A30" s="17" t="s">
        <v>98</v>
      </c>
      <c r="B30" s="17" t="s">
        <v>582</v>
      </c>
      <c r="C30" s="11">
        <f>SUMIFS(C$16:C$27,$A$16:$A$27,A30)</f>
        <v>0</v>
      </c>
      <c r="D30" s="11">
        <f>SUMIFS(D$16:D$27,$A$16:$A$27,A30)</f>
        <v>0</v>
      </c>
      <c r="E30" s="11">
        <f>SUMIFS(E$16:E$27,$A$16:$A$27,A30)</f>
        <v>0</v>
      </c>
      <c r="F30" s="16" t="str">
        <f>IF(C30+D30=0,"",C30/(C30+D30))</f>
        <v/>
      </c>
      <c r="G30" s="16" t="str">
        <f>IF(C30+E30=0,"",C30/(C30+E30))</f>
        <v/>
      </c>
      <c r="H30" s="16" t="str">
        <f>IF(OR(F30="",G30=""),"",IF(F30+G30=0,0,2*F30*G30/(F30+G30)))</f>
        <v/>
      </c>
      <c r="I30" s="11">
        <f>SUMIFS(I$16:I$27,$A$16:$A$27,A30)</f>
        <v>0</v>
      </c>
      <c r="J30" s="11">
        <f>SUMIFS(J$16:J$27,$A$16:$A$27,A30)</f>
        <v>0</v>
      </c>
      <c r="K30" s="16" t="str">
        <f>IF(OR(J30="",J30=0),"",I30/J30)</f>
        <v/>
      </c>
      <c r="L30" s="11"/>
    </row>
    <row r="31" spans="1:12" x14ac:dyDescent="0.3">
      <c r="A31" s="17" t="s">
        <v>49</v>
      </c>
      <c r="B31" s="17" t="s">
        <v>582</v>
      </c>
      <c r="C31" s="11">
        <f>SUMIFS(C$16:C$27,$A$16:$A$27,A31)</f>
        <v>0</v>
      </c>
      <c r="D31" s="11">
        <f>SUMIFS(D$16:D$27,$A$16:$A$27,A31)</f>
        <v>0</v>
      </c>
      <c r="E31" s="11">
        <f>SUMIFS(E$16:E$27,$A$16:$A$27,A31)</f>
        <v>0</v>
      </c>
      <c r="F31" s="16" t="str">
        <f>IF(C31+D31=0,"",C31/(C31+D31))</f>
        <v/>
      </c>
      <c r="G31" s="16" t="str">
        <f>IF(C31+E31=0,"",C31/(C31+E31))</f>
        <v/>
      </c>
      <c r="H31" s="16" t="str">
        <f>IF(OR(F31="",G31=""),"",IF(F31+G31=0,0,2*F31*G31/(F31+G31)))</f>
        <v/>
      </c>
      <c r="I31" s="11">
        <f>SUMIFS(I$16:I$27,$A$16:$A$27,A31)</f>
        <v>0</v>
      </c>
      <c r="J31" s="11">
        <f>SUMIFS(J$16:J$27,$A$16:$A$27,A31)</f>
        <v>0</v>
      </c>
      <c r="K31" s="16" t="str">
        <f>IF(OR(J31="",J31=0),"",I31/J31)</f>
        <v/>
      </c>
      <c r="L31" s="11"/>
    </row>
    <row r="32" spans="1:12" x14ac:dyDescent="0.3">
      <c r="A32" s="17" t="s">
        <v>580</v>
      </c>
      <c r="B32" s="17" t="s">
        <v>582</v>
      </c>
      <c r="C32" s="11">
        <f>SUMIFS(C$16:C$27,$A$16:$A$27,A32)</f>
        <v>0</v>
      </c>
      <c r="D32" s="11">
        <f>SUMIFS(D$16:D$27,$A$16:$A$27,A32)</f>
        <v>0</v>
      </c>
      <c r="E32" s="11">
        <f>SUMIFS(E$16:E$27,$A$16:$A$27,A32)</f>
        <v>0</v>
      </c>
      <c r="F32" s="16" t="str">
        <f>IF(C32+D32=0,"",C32/(C32+D32))</f>
        <v/>
      </c>
      <c r="G32" s="16" t="str">
        <f>IF(C32+E32=0,"",C32/(C32+E32))</f>
        <v/>
      </c>
      <c r="H32" s="16" t="str">
        <f>IF(OR(F32="",G32=""),"",IF(F32+G32=0,0,2*F32*G32/(F32+G32)))</f>
        <v/>
      </c>
      <c r="I32" s="11">
        <f>SUMIFS(I$16:I$27,$A$16:$A$27,A32)</f>
        <v>0</v>
      </c>
      <c r="J32" s="11">
        <f>SUMIFS(J$16:J$27,$A$16:$A$27,A32)</f>
        <v>0</v>
      </c>
      <c r="K32" s="16" t="str">
        <f>IF(OR(J32="",J32=0),"",I32/J32)</f>
        <v/>
      </c>
      <c r="L32" s="11"/>
    </row>
  </sheetData>
  <mergeCells count="16">
    <mergeCell ref="C4:J4"/>
    <mergeCell ref="K7:L7"/>
    <mergeCell ref="K11:L11"/>
    <mergeCell ref="C7:J7"/>
    <mergeCell ref="K8:L8"/>
    <mergeCell ref="C11:J11"/>
    <mergeCell ref="C6:J6"/>
    <mergeCell ref="C10:J10"/>
    <mergeCell ref="K10:L10"/>
    <mergeCell ref="K6:L6"/>
    <mergeCell ref="K9:L9"/>
    <mergeCell ref="K5:L5"/>
    <mergeCell ref="C5:J5"/>
    <mergeCell ref="K4:L4"/>
    <mergeCell ref="C8:J8"/>
    <mergeCell ref="C9:J9"/>
  </mergeCells>
  <pageMargins left="0.75" right="0.75" top="1" bottom="1" header="0.5" footer="0.5"/>
  <pageSetup scale="7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F29"/>
  <sheetViews>
    <sheetView showGridLines="0" workbookViewId="0"/>
  </sheetViews>
  <sheetFormatPr defaultRowHeight="14.4" x14ac:dyDescent="0.3"/>
  <cols>
    <col min="1" max="1" width="6" customWidth="1"/>
    <col min="2" max="2" width="26" customWidth="1"/>
    <col min="3" max="3" width="46" customWidth="1"/>
    <col min="4" max="4" width="26" customWidth="1"/>
    <col min="5" max="5" width="34" customWidth="1"/>
    <col min="6" max="6" width="12" customWidth="1"/>
  </cols>
  <sheetData>
    <row r="1" spans="1:6" ht="17.399999999999999" x14ac:dyDescent="0.3">
      <c r="A1" s="1" t="s">
        <v>76</v>
      </c>
    </row>
    <row r="2" spans="1:6" x14ac:dyDescent="0.3">
      <c r="A2" s="2" t="s">
        <v>583</v>
      </c>
    </row>
    <row r="4" spans="1:6" x14ac:dyDescent="0.3">
      <c r="A4" s="3" t="s">
        <v>272</v>
      </c>
      <c r="B4" s="3" t="s">
        <v>58</v>
      </c>
      <c r="C4" s="3" t="s">
        <v>584</v>
      </c>
      <c r="D4" s="3" t="s">
        <v>585</v>
      </c>
      <c r="E4" s="3" t="s">
        <v>586</v>
      </c>
      <c r="F4" s="3" t="s">
        <v>401</v>
      </c>
    </row>
    <row r="5" spans="1:6" ht="26.4" x14ac:dyDescent="0.3">
      <c r="A5" s="4" t="s">
        <v>587</v>
      </c>
      <c r="B5" s="4" t="s">
        <v>588</v>
      </c>
      <c r="C5" s="4" t="s">
        <v>589</v>
      </c>
      <c r="D5" s="4" t="s">
        <v>590</v>
      </c>
      <c r="E5" s="4" t="s">
        <v>591</v>
      </c>
      <c r="F5" s="4" t="s">
        <v>414</v>
      </c>
    </row>
    <row r="6" spans="1:6" ht="52.8" x14ac:dyDescent="0.3">
      <c r="A6" s="4" t="s">
        <v>592</v>
      </c>
      <c r="B6" s="4" t="s">
        <v>593</v>
      </c>
      <c r="C6" s="4" t="s">
        <v>594</v>
      </c>
      <c r="D6" s="4" t="s">
        <v>595</v>
      </c>
      <c r="E6" s="4" t="s">
        <v>596</v>
      </c>
      <c r="F6" s="4" t="s">
        <v>414</v>
      </c>
    </row>
    <row r="7" spans="1:6" ht="26.4" x14ac:dyDescent="0.3">
      <c r="A7" s="4" t="s">
        <v>597</v>
      </c>
      <c r="B7" s="4" t="s">
        <v>598</v>
      </c>
      <c r="C7" s="4" t="s">
        <v>599</v>
      </c>
      <c r="D7" s="4" t="s">
        <v>600</v>
      </c>
      <c r="E7" s="4" t="s">
        <v>601</v>
      </c>
      <c r="F7" s="4" t="s">
        <v>414</v>
      </c>
    </row>
    <row r="8" spans="1:6" ht="26.4" x14ac:dyDescent="0.3">
      <c r="A8" s="4" t="s">
        <v>602</v>
      </c>
      <c r="B8" s="4" t="s">
        <v>603</v>
      </c>
      <c r="C8" s="4" t="s">
        <v>604</v>
      </c>
      <c r="D8" s="4" t="s">
        <v>605</v>
      </c>
      <c r="E8" s="4" t="s">
        <v>606</v>
      </c>
      <c r="F8" s="4" t="s">
        <v>456</v>
      </c>
    </row>
    <row r="9" spans="1:6" ht="26.4" x14ac:dyDescent="0.3">
      <c r="A9" s="4" t="s">
        <v>607</v>
      </c>
      <c r="B9" s="4" t="s">
        <v>608</v>
      </c>
      <c r="C9" s="4" t="s">
        <v>609</v>
      </c>
      <c r="D9" s="4" t="s">
        <v>165</v>
      </c>
      <c r="E9" s="4" t="s">
        <v>610</v>
      </c>
      <c r="F9" s="4" t="s">
        <v>456</v>
      </c>
    </row>
    <row r="10" spans="1:6" ht="39.6" x14ac:dyDescent="0.3">
      <c r="A10" s="4" t="s">
        <v>611</v>
      </c>
      <c r="B10" s="4" t="s">
        <v>612</v>
      </c>
      <c r="C10" s="4" t="s">
        <v>613</v>
      </c>
      <c r="D10" s="4" t="s">
        <v>614</v>
      </c>
      <c r="E10" s="4" t="s">
        <v>615</v>
      </c>
      <c r="F10" s="4" t="s">
        <v>408</v>
      </c>
    </row>
    <row r="11" spans="1:6" ht="26.4" x14ac:dyDescent="0.3">
      <c r="A11" s="4" t="s">
        <v>616</v>
      </c>
      <c r="B11" s="4" t="s">
        <v>617</v>
      </c>
      <c r="C11" s="4" t="s">
        <v>618</v>
      </c>
      <c r="D11" s="4" t="s">
        <v>133</v>
      </c>
      <c r="E11" s="4" t="s">
        <v>619</v>
      </c>
      <c r="F11" s="4" t="s">
        <v>408</v>
      </c>
    </row>
    <row r="12" spans="1:6" x14ac:dyDescent="0.3">
      <c r="A12" s="4" t="s">
        <v>620</v>
      </c>
      <c r="B12" s="4" t="s">
        <v>621</v>
      </c>
      <c r="C12" s="4" t="s">
        <v>622</v>
      </c>
      <c r="D12" s="4" t="s">
        <v>623</v>
      </c>
      <c r="E12" s="4" t="s">
        <v>624</v>
      </c>
      <c r="F12" s="4" t="s">
        <v>408</v>
      </c>
    </row>
    <row r="13" spans="1:6" ht="26.4" x14ac:dyDescent="0.3">
      <c r="A13" s="4" t="s">
        <v>625</v>
      </c>
      <c r="B13" s="4" t="s">
        <v>626</v>
      </c>
      <c r="C13" s="4" t="s">
        <v>627</v>
      </c>
      <c r="D13" s="4" t="s">
        <v>628</v>
      </c>
      <c r="E13" s="4" t="s">
        <v>629</v>
      </c>
      <c r="F13" s="4" t="s">
        <v>456</v>
      </c>
    </row>
    <row r="14" spans="1:6" ht="26.4" x14ac:dyDescent="0.3">
      <c r="A14" s="4" t="s">
        <v>630</v>
      </c>
      <c r="B14" s="4" t="s">
        <v>631</v>
      </c>
      <c r="C14" s="4" t="s">
        <v>632</v>
      </c>
      <c r="D14" s="4" t="s">
        <v>633</v>
      </c>
      <c r="E14" s="4" t="s">
        <v>634</v>
      </c>
      <c r="F14" s="4" t="s">
        <v>165</v>
      </c>
    </row>
    <row r="16" spans="1:6" x14ac:dyDescent="0.3">
      <c r="A16" s="5" t="s">
        <v>635</v>
      </c>
    </row>
    <row r="17" spans="1:3" x14ac:dyDescent="0.3">
      <c r="A17" s="3" t="s">
        <v>272</v>
      </c>
      <c r="B17" s="3" t="s">
        <v>636</v>
      </c>
      <c r="C17" s="3" t="s">
        <v>637</v>
      </c>
    </row>
    <row r="18" spans="1:3" ht="26.4" x14ac:dyDescent="0.3">
      <c r="A18" s="4" t="s">
        <v>638</v>
      </c>
      <c r="B18" s="4" t="s">
        <v>639</v>
      </c>
      <c r="C18" s="4" t="s">
        <v>592</v>
      </c>
    </row>
    <row r="19" spans="1:3" ht="39.6" x14ac:dyDescent="0.3">
      <c r="A19" s="4" t="s">
        <v>640</v>
      </c>
      <c r="B19" s="4" t="s">
        <v>641</v>
      </c>
      <c r="C19" s="4" t="s">
        <v>642</v>
      </c>
    </row>
    <row r="20" spans="1:3" ht="26.4" x14ac:dyDescent="0.3">
      <c r="A20" s="4" t="s">
        <v>643</v>
      </c>
      <c r="B20" s="4" t="s">
        <v>644</v>
      </c>
      <c r="C20" s="4" t="s">
        <v>597</v>
      </c>
    </row>
    <row r="21" spans="1:3" ht="39.6" x14ac:dyDescent="0.3">
      <c r="A21" s="4" t="s">
        <v>645</v>
      </c>
      <c r="B21" s="4" t="s">
        <v>646</v>
      </c>
      <c r="C21" s="4" t="s">
        <v>607</v>
      </c>
    </row>
    <row r="22" spans="1:3" ht="26.4" x14ac:dyDescent="0.3">
      <c r="A22" s="4" t="s">
        <v>647</v>
      </c>
      <c r="B22" s="4" t="s">
        <v>648</v>
      </c>
      <c r="C22" s="4" t="s">
        <v>649</v>
      </c>
    </row>
    <row r="23" spans="1:3" ht="39.6" x14ac:dyDescent="0.3">
      <c r="A23" s="4" t="s">
        <v>650</v>
      </c>
      <c r="B23" s="4" t="s">
        <v>651</v>
      </c>
      <c r="C23" s="4" t="s">
        <v>611</v>
      </c>
    </row>
    <row r="24" spans="1:3" ht="39.6" x14ac:dyDescent="0.3">
      <c r="A24" s="4" t="s">
        <v>235</v>
      </c>
      <c r="B24" s="4" t="s">
        <v>652</v>
      </c>
      <c r="C24" s="4" t="s">
        <v>607</v>
      </c>
    </row>
    <row r="25" spans="1:3" ht="26.4" x14ac:dyDescent="0.3">
      <c r="A25" s="4" t="s">
        <v>653</v>
      </c>
      <c r="B25" s="4" t="s">
        <v>654</v>
      </c>
      <c r="C25" s="4" t="s">
        <v>587</v>
      </c>
    </row>
    <row r="26" spans="1:3" ht="26.4" x14ac:dyDescent="0.3">
      <c r="A26" s="4" t="s">
        <v>655</v>
      </c>
      <c r="B26" s="4" t="s">
        <v>656</v>
      </c>
      <c r="C26" s="4" t="s">
        <v>620</v>
      </c>
    </row>
    <row r="27" spans="1:3" ht="39.6" x14ac:dyDescent="0.3">
      <c r="A27" s="4" t="s">
        <v>657</v>
      </c>
      <c r="B27" s="4" t="s">
        <v>658</v>
      </c>
      <c r="C27" s="4" t="s">
        <v>659</v>
      </c>
    </row>
    <row r="28" spans="1:3" ht="39.6" x14ac:dyDescent="0.3">
      <c r="A28" s="4" t="s">
        <v>660</v>
      </c>
      <c r="B28" s="4" t="s">
        <v>661</v>
      </c>
      <c r="C28" s="4" t="s">
        <v>662</v>
      </c>
    </row>
    <row r="29" spans="1:3" ht="26.4" x14ac:dyDescent="0.3">
      <c r="A29" s="4" t="s">
        <v>663</v>
      </c>
      <c r="B29" s="4" t="s">
        <v>664</v>
      </c>
      <c r="C29" s="4" t="s">
        <v>630</v>
      </c>
    </row>
  </sheetData>
  <autoFilter ref="A4:F14"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EA9DB"/>
  </sheetPr>
  <dimension ref="A1:L30"/>
  <sheetViews>
    <sheetView showGridLines="0" workbookViewId="0">
      <pane ySplit="5" topLeftCell="A6" activePane="bottomLeft" state="frozen"/>
      <selection pane="bottomLeft"/>
    </sheetView>
  </sheetViews>
  <sheetFormatPr defaultRowHeight="14.4" x14ac:dyDescent="0.3"/>
  <cols>
    <col min="1" max="1" width="7" customWidth="1"/>
    <col min="2" max="2" width="14" customWidth="1"/>
    <col min="3" max="3" width="46" customWidth="1"/>
    <col min="4" max="4" width="18" customWidth="1"/>
    <col min="5" max="6" width="8" customWidth="1"/>
    <col min="7" max="8" width="12" customWidth="1"/>
    <col min="9" max="9" width="30" customWidth="1"/>
    <col min="10" max="10" width="12" customWidth="1"/>
    <col min="11" max="11" width="14" customWidth="1"/>
    <col min="12" max="12" width="22" customWidth="1"/>
  </cols>
  <sheetData>
    <row r="1" spans="1:12" ht="17.399999999999999" x14ac:dyDescent="0.3">
      <c r="A1" s="1" t="s">
        <v>665</v>
      </c>
    </row>
    <row r="2" spans="1:12" x14ac:dyDescent="0.3">
      <c r="A2" s="2" t="s">
        <v>666</v>
      </c>
    </row>
    <row r="3" spans="1:12" x14ac:dyDescent="0.3">
      <c r="A3" s="6" t="s">
        <v>667</v>
      </c>
      <c r="C3" s="18">
        <v>46300</v>
      </c>
      <c r="E3" s="6" t="s">
        <v>668</v>
      </c>
      <c r="F3" s="19">
        <f>COUNTIF(K6:K30,"Xong")/COUNTA(C6:C30)</f>
        <v>0</v>
      </c>
    </row>
    <row r="5" spans="1:12" ht="26.4" x14ac:dyDescent="0.3">
      <c r="A5" s="3" t="s">
        <v>669</v>
      </c>
      <c r="B5" s="3" t="s">
        <v>670</v>
      </c>
      <c r="C5" s="3" t="s">
        <v>671</v>
      </c>
      <c r="D5" s="3" t="s">
        <v>401</v>
      </c>
      <c r="E5" s="3" t="s">
        <v>672</v>
      </c>
      <c r="F5" s="3" t="s">
        <v>673</v>
      </c>
      <c r="G5" s="3" t="s">
        <v>674</v>
      </c>
      <c r="H5" s="3" t="s">
        <v>675</v>
      </c>
      <c r="I5" s="3" t="s">
        <v>676</v>
      </c>
      <c r="J5" s="3" t="s">
        <v>677</v>
      </c>
      <c r="K5" s="3" t="s">
        <v>678</v>
      </c>
      <c r="L5" s="3" t="s">
        <v>577</v>
      </c>
    </row>
    <row r="6" spans="1:12" ht="26.4" x14ac:dyDescent="0.3">
      <c r="A6" s="4" t="s">
        <v>679</v>
      </c>
      <c r="B6" s="4" t="s">
        <v>680</v>
      </c>
      <c r="C6" s="4" t="s">
        <v>681</v>
      </c>
      <c r="D6" s="4" t="s">
        <v>682</v>
      </c>
      <c r="E6" s="4">
        <v>1</v>
      </c>
      <c r="F6" s="4">
        <v>1</v>
      </c>
      <c r="G6" s="20">
        <f t="shared" ref="G6:G30" si="0">$C$3+(E6-1)*7</f>
        <v>46300</v>
      </c>
      <c r="H6" s="20">
        <f t="shared" ref="H6:H30" si="1">$C$3+F6*7-1</f>
        <v>46306</v>
      </c>
      <c r="I6" s="4" t="s">
        <v>683</v>
      </c>
      <c r="J6" s="4"/>
      <c r="K6" s="9" t="s">
        <v>684</v>
      </c>
      <c r="L6" s="4"/>
    </row>
    <row r="7" spans="1:12" ht="26.4" x14ac:dyDescent="0.3">
      <c r="A7" s="4" t="s">
        <v>685</v>
      </c>
      <c r="B7" s="4" t="s">
        <v>680</v>
      </c>
      <c r="C7" s="4" t="s">
        <v>686</v>
      </c>
      <c r="D7" s="4" t="s">
        <v>408</v>
      </c>
      <c r="E7" s="4">
        <v>1</v>
      </c>
      <c r="F7" s="4">
        <v>1</v>
      </c>
      <c r="G7" s="20">
        <f t="shared" si="0"/>
        <v>46300</v>
      </c>
      <c r="H7" s="20">
        <f t="shared" si="1"/>
        <v>46306</v>
      </c>
      <c r="I7" s="4" t="s">
        <v>687</v>
      </c>
      <c r="J7" s="4"/>
      <c r="K7" s="9" t="s">
        <v>684</v>
      </c>
      <c r="L7" s="4"/>
    </row>
    <row r="8" spans="1:12" x14ac:dyDescent="0.3">
      <c r="A8" s="4" t="s">
        <v>688</v>
      </c>
      <c r="B8" s="4" t="s">
        <v>46</v>
      </c>
      <c r="C8" s="4" t="s">
        <v>689</v>
      </c>
      <c r="D8" s="4" t="s">
        <v>456</v>
      </c>
      <c r="E8" s="4">
        <v>1</v>
      </c>
      <c r="F8" s="4">
        <v>1</v>
      </c>
      <c r="G8" s="20">
        <f t="shared" si="0"/>
        <v>46300</v>
      </c>
      <c r="H8" s="20">
        <f t="shared" si="1"/>
        <v>46306</v>
      </c>
      <c r="I8" s="4" t="s">
        <v>690</v>
      </c>
      <c r="J8" s="4"/>
      <c r="K8" s="9" t="s">
        <v>684</v>
      </c>
      <c r="L8" s="4"/>
    </row>
    <row r="9" spans="1:12" ht="26.4" x14ac:dyDescent="0.3">
      <c r="A9" s="4" t="s">
        <v>691</v>
      </c>
      <c r="B9" s="4" t="s">
        <v>46</v>
      </c>
      <c r="C9" s="4" t="s">
        <v>692</v>
      </c>
      <c r="D9" s="4" t="s">
        <v>693</v>
      </c>
      <c r="E9" s="4">
        <v>1</v>
      </c>
      <c r="F9" s="4">
        <v>1</v>
      </c>
      <c r="G9" s="20">
        <f t="shared" si="0"/>
        <v>46300</v>
      </c>
      <c r="H9" s="20">
        <f t="shared" si="1"/>
        <v>46306</v>
      </c>
      <c r="I9" s="4" t="s">
        <v>694</v>
      </c>
      <c r="J9" s="4" t="s">
        <v>679</v>
      </c>
      <c r="K9" s="9" t="s">
        <v>684</v>
      </c>
      <c r="L9" s="4"/>
    </row>
    <row r="10" spans="1:12" x14ac:dyDescent="0.3">
      <c r="A10" s="4" t="s">
        <v>695</v>
      </c>
      <c r="B10" s="4" t="s">
        <v>696</v>
      </c>
      <c r="C10" s="4" t="s">
        <v>697</v>
      </c>
      <c r="D10" s="4" t="s">
        <v>414</v>
      </c>
      <c r="E10" s="4">
        <v>1</v>
      </c>
      <c r="F10" s="4">
        <v>1</v>
      </c>
      <c r="G10" s="20">
        <f t="shared" si="0"/>
        <v>46300</v>
      </c>
      <c r="H10" s="20">
        <f t="shared" si="1"/>
        <v>46306</v>
      </c>
      <c r="I10" s="4" t="s">
        <v>698</v>
      </c>
      <c r="J10" s="4" t="s">
        <v>679</v>
      </c>
      <c r="K10" s="9" t="s">
        <v>684</v>
      </c>
      <c r="L10" s="4"/>
    </row>
    <row r="11" spans="1:12" x14ac:dyDescent="0.3">
      <c r="A11" s="4" t="s">
        <v>699</v>
      </c>
      <c r="B11" s="4" t="s">
        <v>700</v>
      </c>
      <c r="C11" s="4" t="s">
        <v>701</v>
      </c>
      <c r="D11" s="4" t="s">
        <v>408</v>
      </c>
      <c r="E11" s="4">
        <v>1</v>
      </c>
      <c r="F11" s="4">
        <v>1</v>
      </c>
      <c r="G11" s="20">
        <f t="shared" si="0"/>
        <v>46300</v>
      </c>
      <c r="H11" s="20">
        <f t="shared" si="1"/>
        <v>46306</v>
      </c>
      <c r="I11" s="4" t="s">
        <v>702</v>
      </c>
      <c r="J11" s="4"/>
      <c r="K11" s="9" t="s">
        <v>684</v>
      </c>
      <c r="L11" s="4"/>
    </row>
    <row r="12" spans="1:12" ht="26.4" x14ac:dyDescent="0.3">
      <c r="A12" s="4" t="s">
        <v>703</v>
      </c>
      <c r="B12" s="4" t="s">
        <v>704</v>
      </c>
      <c r="C12" s="4" t="s">
        <v>705</v>
      </c>
      <c r="D12" s="4" t="s">
        <v>463</v>
      </c>
      <c r="E12" s="4">
        <v>1</v>
      </c>
      <c r="F12" s="4">
        <v>1</v>
      </c>
      <c r="G12" s="20">
        <f t="shared" si="0"/>
        <v>46300</v>
      </c>
      <c r="H12" s="20">
        <f t="shared" si="1"/>
        <v>46306</v>
      </c>
      <c r="I12" s="4" t="s">
        <v>706</v>
      </c>
      <c r="J12" s="4"/>
      <c r="K12" s="9" t="s">
        <v>684</v>
      </c>
      <c r="L12" s="4"/>
    </row>
    <row r="13" spans="1:12" x14ac:dyDescent="0.3">
      <c r="A13" s="4" t="s">
        <v>707</v>
      </c>
      <c r="B13" s="4" t="s">
        <v>704</v>
      </c>
      <c r="C13" s="4" t="s">
        <v>708</v>
      </c>
      <c r="D13" s="4" t="s">
        <v>463</v>
      </c>
      <c r="E13" s="4">
        <v>1</v>
      </c>
      <c r="F13" s="4">
        <v>1</v>
      </c>
      <c r="G13" s="20">
        <f t="shared" si="0"/>
        <v>46300</v>
      </c>
      <c r="H13" s="20">
        <f t="shared" si="1"/>
        <v>46306</v>
      </c>
      <c r="I13" s="4" t="s">
        <v>709</v>
      </c>
      <c r="J13" s="4" t="s">
        <v>703</v>
      </c>
      <c r="K13" s="9" t="s">
        <v>684</v>
      </c>
      <c r="L13" s="4"/>
    </row>
    <row r="14" spans="1:12" ht="26.4" x14ac:dyDescent="0.3">
      <c r="A14" s="4" t="s">
        <v>710</v>
      </c>
      <c r="B14" s="4" t="s">
        <v>711</v>
      </c>
      <c r="C14" s="4" t="s">
        <v>712</v>
      </c>
      <c r="D14" s="4" t="s">
        <v>713</v>
      </c>
      <c r="E14" s="4">
        <v>1</v>
      </c>
      <c r="F14" s="4">
        <v>2</v>
      </c>
      <c r="G14" s="20">
        <f t="shared" si="0"/>
        <v>46300</v>
      </c>
      <c r="H14" s="20">
        <f t="shared" si="1"/>
        <v>46313</v>
      </c>
      <c r="I14" s="4" t="s">
        <v>714</v>
      </c>
      <c r="J14" s="4"/>
      <c r="K14" s="9" t="s">
        <v>684</v>
      </c>
      <c r="L14" s="4"/>
    </row>
    <row r="15" spans="1:12" ht="26.4" x14ac:dyDescent="0.3">
      <c r="A15" s="4" t="s">
        <v>715</v>
      </c>
      <c r="B15" s="4" t="s">
        <v>46</v>
      </c>
      <c r="C15" s="4" t="s">
        <v>716</v>
      </c>
      <c r="D15" s="4" t="s">
        <v>693</v>
      </c>
      <c r="E15" s="4">
        <v>2</v>
      </c>
      <c r="F15" s="4">
        <v>2</v>
      </c>
      <c r="G15" s="20">
        <f t="shared" si="0"/>
        <v>46307</v>
      </c>
      <c r="H15" s="20">
        <f t="shared" si="1"/>
        <v>46313</v>
      </c>
      <c r="I15" s="4" t="s">
        <v>717</v>
      </c>
      <c r="J15" s="4" t="s">
        <v>718</v>
      </c>
      <c r="K15" s="9" t="s">
        <v>684</v>
      </c>
      <c r="L15" s="4"/>
    </row>
    <row r="16" spans="1:12" x14ac:dyDescent="0.3">
      <c r="A16" s="4" t="s">
        <v>719</v>
      </c>
      <c r="B16" s="4" t="s">
        <v>696</v>
      </c>
      <c r="C16" s="4" t="s">
        <v>720</v>
      </c>
      <c r="D16" s="4" t="s">
        <v>414</v>
      </c>
      <c r="E16" s="4">
        <v>2</v>
      </c>
      <c r="F16" s="4">
        <v>2</v>
      </c>
      <c r="G16" s="20">
        <f t="shared" si="0"/>
        <v>46307</v>
      </c>
      <c r="H16" s="20">
        <f t="shared" si="1"/>
        <v>46313</v>
      </c>
      <c r="I16" s="4" t="s">
        <v>721</v>
      </c>
      <c r="J16" s="4" t="s">
        <v>695</v>
      </c>
      <c r="K16" s="9" t="s">
        <v>684</v>
      </c>
      <c r="L16" s="4"/>
    </row>
    <row r="17" spans="1:12" x14ac:dyDescent="0.3">
      <c r="A17" s="4" t="s">
        <v>722</v>
      </c>
      <c r="B17" s="4" t="s">
        <v>696</v>
      </c>
      <c r="C17" s="4" t="s">
        <v>723</v>
      </c>
      <c r="D17" s="4" t="s">
        <v>414</v>
      </c>
      <c r="E17" s="4">
        <v>2</v>
      </c>
      <c r="F17" s="4">
        <v>2</v>
      </c>
      <c r="G17" s="20">
        <f t="shared" si="0"/>
        <v>46307</v>
      </c>
      <c r="H17" s="20">
        <f t="shared" si="1"/>
        <v>46313</v>
      </c>
      <c r="I17" s="4" t="s">
        <v>724</v>
      </c>
      <c r="J17" s="4"/>
      <c r="K17" s="9" t="s">
        <v>684</v>
      </c>
      <c r="L17" s="4"/>
    </row>
    <row r="18" spans="1:12" ht="26.4" x14ac:dyDescent="0.3">
      <c r="A18" s="4" t="s">
        <v>725</v>
      </c>
      <c r="B18" s="4" t="s">
        <v>49</v>
      </c>
      <c r="C18" s="4" t="s">
        <v>726</v>
      </c>
      <c r="D18" s="4" t="s">
        <v>408</v>
      </c>
      <c r="E18" s="4">
        <v>2</v>
      </c>
      <c r="F18" s="4">
        <v>2</v>
      </c>
      <c r="G18" s="20">
        <f t="shared" si="0"/>
        <v>46307</v>
      </c>
      <c r="H18" s="20">
        <f t="shared" si="1"/>
        <v>46313</v>
      </c>
      <c r="I18" s="4" t="s">
        <v>727</v>
      </c>
      <c r="J18" s="4" t="s">
        <v>685</v>
      </c>
      <c r="K18" s="9" t="s">
        <v>684</v>
      </c>
      <c r="L18" s="4"/>
    </row>
    <row r="19" spans="1:12" ht="26.4" x14ac:dyDescent="0.3">
      <c r="A19" s="4" t="s">
        <v>728</v>
      </c>
      <c r="B19" s="4" t="s">
        <v>49</v>
      </c>
      <c r="C19" s="4" t="s">
        <v>729</v>
      </c>
      <c r="D19" s="4" t="s">
        <v>408</v>
      </c>
      <c r="E19" s="4">
        <v>2</v>
      </c>
      <c r="F19" s="4">
        <v>3</v>
      </c>
      <c r="G19" s="20">
        <f t="shared" si="0"/>
        <v>46307</v>
      </c>
      <c r="H19" s="20">
        <f t="shared" si="1"/>
        <v>46320</v>
      </c>
      <c r="I19" s="4" t="s">
        <v>730</v>
      </c>
      <c r="J19" s="4"/>
      <c r="K19" s="9" t="s">
        <v>684</v>
      </c>
      <c r="L19" s="4"/>
    </row>
    <row r="20" spans="1:12" ht="26.4" x14ac:dyDescent="0.3">
      <c r="A20" s="4" t="s">
        <v>731</v>
      </c>
      <c r="B20" s="4" t="s">
        <v>704</v>
      </c>
      <c r="C20" s="4" t="s">
        <v>732</v>
      </c>
      <c r="D20" s="4" t="s">
        <v>463</v>
      </c>
      <c r="E20" s="4">
        <v>2</v>
      </c>
      <c r="F20" s="4">
        <v>2</v>
      </c>
      <c r="G20" s="20">
        <f t="shared" si="0"/>
        <v>46307</v>
      </c>
      <c r="H20" s="20">
        <f t="shared" si="1"/>
        <v>46313</v>
      </c>
      <c r="I20" s="4" t="s">
        <v>733</v>
      </c>
      <c r="J20" s="4" t="s">
        <v>707</v>
      </c>
      <c r="K20" s="9" t="s">
        <v>684</v>
      </c>
      <c r="L20" s="4"/>
    </row>
    <row r="21" spans="1:12" x14ac:dyDescent="0.3">
      <c r="A21" s="4" t="s">
        <v>734</v>
      </c>
      <c r="B21" s="4" t="s">
        <v>700</v>
      </c>
      <c r="C21" s="4" t="s">
        <v>735</v>
      </c>
      <c r="D21" s="4" t="s">
        <v>736</v>
      </c>
      <c r="E21" s="4">
        <v>3</v>
      </c>
      <c r="F21" s="4">
        <v>3</v>
      </c>
      <c r="G21" s="20">
        <f t="shared" si="0"/>
        <v>46314</v>
      </c>
      <c r="H21" s="20">
        <f t="shared" si="1"/>
        <v>46320</v>
      </c>
      <c r="I21" s="4" t="s">
        <v>737</v>
      </c>
      <c r="J21" s="4" t="s">
        <v>738</v>
      </c>
      <c r="K21" s="9" t="s">
        <v>684</v>
      </c>
      <c r="L21" s="4"/>
    </row>
    <row r="22" spans="1:12" ht="26.4" x14ac:dyDescent="0.3">
      <c r="A22" s="4" t="s">
        <v>739</v>
      </c>
      <c r="B22" s="4" t="s">
        <v>452</v>
      </c>
      <c r="C22" s="4" t="s">
        <v>740</v>
      </c>
      <c r="D22" s="4" t="s">
        <v>456</v>
      </c>
      <c r="E22" s="4">
        <v>3</v>
      </c>
      <c r="F22" s="4">
        <v>3</v>
      </c>
      <c r="G22" s="20">
        <f t="shared" si="0"/>
        <v>46314</v>
      </c>
      <c r="H22" s="20">
        <f t="shared" si="1"/>
        <v>46320</v>
      </c>
      <c r="I22" s="4" t="s">
        <v>741</v>
      </c>
      <c r="J22" s="4" t="s">
        <v>715</v>
      </c>
      <c r="K22" s="9" t="s">
        <v>684</v>
      </c>
      <c r="L22" s="4"/>
    </row>
    <row r="23" spans="1:12" ht="26.4" x14ac:dyDescent="0.3">
      <c r="A23" s="4" t="s">
        <v>742</v>
      </c>
      <c r="B23" s="4" t="s">
        <v>696</v>
      </c>
      <c r="C23" s="4" t="s">
        <v>743</v>
      </c>
      <c r="D23" s="4" t="s">
        <v>437</v>
      </c>
      <c r="E23" s="4">
        <v>3</v>
      </c>
      <c r="F23" s="4">
        <v>3</v>
      </c>
      <c r="G23" s="20">
        <f t="shared" si="0"/>
        <v>46314</v>
      </c>
      <c r="H23" s="20">
        <f t="shared" si="1"/>
        <v>46320</v>
      </c>
      <c r="I23" s="4" t="s">
        <v>744</v>
      </c>
      <c r="J23" s="4" t="s">
        <v>739</v>
      </c>
      <c r="K23" s="9" t="s">
        <v>684</v>
      </c>
      <c r="L23" s="4"/>
    </row>
    <row r="24" spans="1:12" ht="26.4" x14ac:dyDescent="0.3">
      <c r="A24" s="4" t="s">
        <v>745</v>
      </c>
      <c r="B24" s="4" t="s">
        <v>704</v>
      </c>
      <c r="C24" s="4" t="s">
        <v>746</v>
      </c>
      <c r="D24" s="4" t="s">
        <v>463</v>
      </c>
      <c r="E24" s="4">
        <v>3</v>
      </c>
      <c r="F24" s="4">
        <v>3</v>
      </c>
      <c r="G24" s="20">
        <f t="shared" si="0"/>
        <v>46314</v>
      </c>
      <c r="H24" s="20">
        <f t="shared" si="1"/>
        <v>46320</v>
      </c>
      <c r="I24" s="4" t="s">
        <v>747</v>
      </c>
      <c r="J24" s="4" t="s">
        <v>731</v>
      </c>
      <c r="K24" s="9" t="s">
        <v>684</v>
      </c>
      <c r="L24" s="4"/>
    </row>
    <row r="25" spans="1:12" x14ac:dyDescent="0.3">
      <c r="A25" s="4" t="s">
        <v>748</v>
      </c>
      <c r="B25" s="4" t="s">
        <v>452</v>
      </c>
      <c r="C25" s="4" t="s">
        <v>749</v>
      </c>
      <c r="D25" s="4" t="s">
        <v>456</v>
      </c>
      <c r="E25" s="4">
        <v>3</v>
      </c>
      <c r="F25" s="4">
        <v>3</v>
      </c>
      <c r="G25" s="20">
        <f t="shared" si="0"/>
        <v>46314</v>
      </c>
      <c r="H25" s="20">
        <f t="shared" si="1"/>
        <v>46320</v>
      </c>
      <c r="I25" s="4" t="s">
        <v>750</v>
      </c>
      <c r="J25" s="4" t="s">
        <v>739</v>
      </c>
      <c r="K25" s="9" t="s">
        <v>684</v>
      </c>
      <c r="L25" s="4"/>
    </row>
    <row r="26" spans="1:12" ht="26.4" x14ac:dyDescent="0.3">
      <c r="A26" s="4" t="s">
        <v>751</v>
      </c>
      <c r="B26" s="4" t="s">
        <v>452</v>
      </c>
      <c r="C26" s="4" t="s">
        <v>752</v>
      </c>
      <c r="D26" s="4" t="s">
        <v>456</v>
      </c>
      <c r="E26" s="4">
        <v>4</v>
      </c>
      <c r="F26" s="4">
        <v>4</v>
      </c>
      <c r="G26" s="20">
        <f t="shared" si="0"/>
        <v>46321</v>
      </c>
      <c r="H26" s="20">
        <f t="shared" si="1"/>
        <v>46327</v>
      </c>
      <c r="I26" s="4" t="s">
        <v>753</v>
      </c>
      <c r="J26" s="4" t="s">
        <v>754</v>
      </c>
      <c r="K26" s="9" t="s">
        <v>684</v>
      </c>
      <c r="L26" s="4"/>
    </row>
    <row r="27" spans="1:12" ht="26.4" x14ac:dyDescent="0.3">
      <c r="A27" s="4" t="s">
        <v>755</v>
      </c>
      <c r="B27" s="4" t="s">
        <v>704</v>
      </c>
      <c r="C27" s="4" t="s">
        <v>756</v>
      </c>
      <c r="D27" s="4" t="s">
        <v>463</v>
      </c>
      <c r="E27" s="4">
        <v>4</v>
      </c>
      <c r="F27" s="4">
        <v>4</v>
      </c>
      <c r="G27" s="20">
        <f t="shared" si="0"/>
        <v>46321</v>
      </c>
      <c r="H27" s="20">
        <f t="shared" si="1"/>
        <v>46327</v>
      </c>
      <c r="I27" s="4" t="s">
        <v>757</v>
      </c>
      <c r="J27" s="4" t="s">
        <v>745</v>
      </c>
      <c r="K27" s="9" t="s">
        <v>684</v>
      </c>
      <c r="L27" s="4"/>
    </row>
    <row r="28" spans="1:12" x14ac:dyDescent="0.3">
      <c r="A28" s="4" t="s">
        <v>758</v>
      </c>
      <c r="B28" s="4" t="s">
        <v>700</v>
      </c>
      <c r="C28" s="4" t="s">
        <v>759</v>
      </c>
      <c r="D28" s="4" t="s">
        <v>408</v>
      </c>
      <c r="E28" s="4">
        <v>4</v>
      </c>
      <c r="F28" s="4">
        <v>4</v>
      </c>
      <c r="G28" s="20">
        <f t="shared" si="0"/>
        <v>46321</v>
      </c>
      <c r="H28" s="20">
        <f t="shared" si="1"/>
        <v>46327</v>
      </c>
      <c r="I28" s="4" t="s">
        <v>760</v>
      </c>
      <c r="J28" s="4"/>
      <c r="K28" s="9" t="s">
        <v>684</v>
      </c>
      <c r="L28" s="4"/>
    </row>
    <row r="29" spans="1:12" ht="26.4" x14ac:dyDescent="0.3">
      <c r="A29" s="4" t="s">
        <v>761</v>
      </c>
      <c r="B29" s="4" t="s">
        <v>762</v>
      </c>
      <c r="C29" s="4" t="s">
        <v>763</v>
      </c>
      <c r="D29" s="4" t="s">
        <v>682</v>
      </c>
      <c r="E29" s="4">
        <v>4</v>
      </c>
      <c r="F29" s="4">
        <v>4</v>
      </c>
      <c r="G29" s="20">
        <f t="shared" si="0"/>
        <v>46321</v>
      </c>
      <c r="H29" s="20">
        <f t="shared" si="1"/>
        <v>46327</v>
      </c>
      <c r="I29" s="4" t="s">
        <v>764</v>
      </c>
      <c r="J29" s="4" t="s">
        <v>751</v>
      </c>
      <c r="K29" s="9" t="s">
        <v>684</v>
      </c>
      <c r="L29" s="4"/>
    </row>
    <row r="30" spans="1:12" x14ac:dyDescent="0.3">
      <c r="A30" s="4" t="s">
        <v>765</v>
      </c>
      <c r="B30" s="4" t="s">
        <v>762</v>
      </c>
      <c r="C30" s="4" t="s">
        <v>766</v>
      </c>
      <c r="D30" s="4" t="s">
        <v>682</v>
      </c>
      <c r="E30" s="4">
        <v>4</v>
      </c>
      <c r="F30" s="4">
        <v>4</v>
      </c>
      <c r="G30" s="20">
        <f t="shared" si="0"/>
        <v>46321</v>
      </c>
      <c r="H30" s="20">
        <f t="shared" si="1"/>
        <v>46327</v>
      </c>
      <c r="I30" s="4" t="s">
        <v>767</v>
      </c>
      <c r="J30" s="4" t="s">
        <v>761</v>
      </c>
      <c r="K30" s="9" t="s">
        <v>684</v>
      </c>
      <c r="L30" s="4"/>
    </row>
  </sheetData>
  <autoFilter ref="A5:L30" xr:uid="{00000000-0009-0000-0000-000008000000}"/>
  <dataValidations count="1">
    <dataValidation type="list" allowBlank="1" sqref="K6 K7 K8 K9 K10 K11 K12 K13 K14 K15 K16 K17 K18 K19 K20 K21 K22 K23 K24 K25 K26 K27 K28 K29 K30" xr:uid="{00000000-0002-0000-0800-000000000000}">
      <formula1>"Chưa bắt đầu,Đang làm,Xong,Bị chặn"</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A9DB"/>
  </sheetPr>
  <dimension ref="A1:G14"/>
  <sheetViews>
    <sheetView showGridLines="0" workbookViewId="0"/>
  </sheetViews>
  <sheetFormatPr defaultRowHeight="14.4" x14ac:dyDescent="0.3"/>
  <cols>
    <col min="1" max="1" width="8" customWidth="1"/>
    <col min="2" max="2" width="20" customWidth="1"/>
    <col min="3" max="3" width="46" customWidth="1"/>
    <col min="4" max="4" width="30" customWidth="1"/>
    <col min="5" max="5" width="26" customWidth="1"/>
    <col min="6" max="6" width="20" customWidth="1"/>
    <col min="7" max="7" width="10" customWidth="1"/>
  </cols>
  <sheetData>
    <row r="1" spans="1:7" ht="17.399999999999999" x14ac:dyDescent="0.3">
      <c r="A1" s="1" t="s">
        <v>768</v>
      </c>
    </row>
    <row r="2" spans="1:7" x14ac:dyDescent="0.3">
      <c r="A2" s="2" t="s">
        <v>769</v>
      </c>
    </row>
    <row r="4" spans="1:7" ht="26.4" x14ac:dyDescent="0.3">
      <c r="A4" s="3" t="s">
        <v>272</v>
      </c>
      <c r="B4" s="3" t="s">
        <v>770</v>
      </c>
      <c r="C4" s="3" t="s">
        <v>771</v>
      </c>
      <c r="D4" s="3" t="s">
        <v>772</v>
      </c>
      <c r="E4" s="3" t="s">
        <v>773</v>
      </c>
      <c r="F4" s="3" t="s">
        <v>774</v>
      </c>
      <c r="G4" s="3" t="s">
        <v>775</v>
      </c>
    </row>
    <row r="5" spans="1:7" ht="26.4" x14ac:dyDescent="0.3">
      <c r="A5" s="4" t="s">
        <v>414</v>
      </c>
      <c r="B5" s="9"/>
      <c r="C5" s="4" t="s">
        <v>776</v>
      </c>
      <c r="D5" s="4" t="s">
        <v>777</v>
      </c>
      <c r="E5" s="4" t="s">
        <v>778</v>
      </c>
      <c r="F5" s="4" t="s">
        <v>779</v>
      </c>
      <c r="G5" s="4">
        <f>COUNTIF('08_KeHoach'!$D$6:$D$30,"*TV1*")+COUNTIF('08_KeHoach'!$D$6:$D$30,"Cả nhóm*")</f>
        <v>11</v>
      </c>
    </row>
    <row r="6" spans="1:7" ht="26.4" x14ac:dyDescent="0.3">
      <c r="A6" s="4" t="s">
        <v>408</v>
      </c>
      <c r="B6" s="9"/>
      <c r="C6" s="4" t="s">
        <v>780</v>
      </c>
      <c r="D6" s="4" t="s">
        <v>781</v>
      </c>
      <c r="E6" s="4" t="s">
        <v>782</v>
      </c>
      <c r="F6" s="4" t="s">
        <v>783</v>
      </c>
      <c r="G6" s="4">
        <f>COUNTIF('08_KeHoach'!$D$6:$D$30,"*TV2*")+COUNTIF('08_KeHoach'!$D$6:$D$30,"Cả nhóm*")</f>
        <v>10</v>
      </c>
    </row>
    <row r="7" spans="1:7" ht="26.4" x14ac:dyDescent="0.3">
      <c r="A7" s="4" t="s">
        <v>463</v>
      </c>
      <c r="B7" s="9"/>
      <c r="C7" s="4" t="s">
        <v>784</v>
      </c>
      <c r="D7" s="4" t="s">
        <v>785</v>
      </c>
      <c r="E7" s="4" t="s">
        <v>786</v>
      </c>
      <c r="F7" s="4" t="s">
        <v>787</v>
      </c>
      <c r="G7" s="4">
        <f>COUNTIF('08_KeHoach'!$D$6:$D$30,"*TV3*")+COUNTIF('08_KeHoach'!$D$6:$D$30,"Cả nhóm*")</f>
        <v>8</v>
      </c>
    </row>
    <row r="8" spans="1:7" ht="26.4" x14ac:dyDescent="0.3">
      <c r="A8" s="4" t="s">
        <v>456</v>
      </c>
      <c r="B8" s="9"/>
      <c r="C8" s="4" t="s">
        <v>788</v>
      </c>
      <c r="D8" s="4" t="s">
        <v>789</v>
      </c>
      <c r="E8" s="4" t="s">
        <v>790</v>
      </c>
      <c r="F8" s="4" t="s">
        <v>791</v>
      </c>
      <c r="G8" s="4">
        <f>COUNTIF('08_KeHoach'!$D$6:$D$30,"*TV4*")+COUNTIF('08_KeHoach'!$D$6:$D$30,"Cả nhóm*")</f>
        <v>10</v>
      </c>
    </row>
    <row r="10" spans="1:7" x14ac:dyDescent="0.3">
      <c r="A10" s="6" t="s">
        <v>792</v>
      </c>
    </row>
    <row r="11" spans="1:7" x14ac:dyDescent="0.3">
      <c r="A11" s="7" t="s">
        <v>414</v>
      </c>
      <c r="B11" s="7" t="s">
        <v>793</v>
      </c>
    </row>
    <row r="12" spans="1:7" x14ac:dyDescent="0.3">
      <c r="A12" s="7" t="s">
        <v>408</v>
      </c>
      <c r="B12" s="7" t="s">
        <v>794</v>
      </c>
    </row>
    <row r="13" spans="1:7" x14ac:dyDescent="0.3">
      <c r="A13" s="7" t="s">
        <v>463</v>
      </c>
      <c r="B13" s="7" t="s">
        <v>795</v>
      </c>
    </row>
    <row r="14" spans="1:7" x14ac:dyDescent="0.3">
      <c r="A14" s="7" t="s">
        <v>456</v>
      </c>
      <c r="B14" s="7" t="s">
        <v>796</v>
      </c>
    </row>
  </sheetData>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A9DB"/>
  </sheetPr>
  <dimension ref="A1:H13"/>
  <sheetViews>
    <sheetView showGridLines="0" workbookViewId="0"/>
  </sheetViews>
  <sheetFormatPr defaultRowHeight="14.4" x14ac:dyDescent="0.3"/>
  <cols>
    <col min="1" max="1" width="6" customWidth="1"/>
    <col min="2" max="2" width="40" customWidth="1"/>
    <col min="3" max="4" width="11" customWidth="1"/>
    <col min="5" max="5" width="9" customWidth="1"/>
    <col min="6" max="6" width="13" customWidth="1"/>
    <col min="7" max="7" width="50" customWidth="1"/>
    <col min="8" max="8" width="12" customWidth="1"/>
  </cols>
  <sheetData>
    <row r="1" spans="1:8" ht="17.399999999999999" x14ac:dyDescent="0.3">
      <c r="A1" s="1" t="s">
        <v>797</v>
      </c>
    </row>
    <row r="2" spans="1:8" x14ac:dyDescent="0.3">
      <c r="A2" s="2" t="s">
        <v>798</v>
      </c>
    </row>
    <row r="4" spans="1:8" ht="26.4" x14ac:dyDescent="0.3">
      <c r="A4" s="3" t="s">
        <v>272</v>
      </c>
      <c r="B4" s="3" t="s">
        <v>799</v>
      </c>
      <c r="C4" s="3" t="s">
        <v>800</v>
      </c>
      <c r="D4" s="3" t="s">
        <v>801</v>
      </c>
      <c r="E4" s="3" t="s">
        <v>802</v>
      </c>
      <c r="F4" s="3" t="s">
        <v>543</v>
      </c>
      <c r="G4" s="3" t="s">
        <v>803</v>
      </c>
      <c r="H4" s="3" t="s">
        <v>401</v>
      </c>
    </row>
    <row r="5" spans="1:8" ht="26.4" x14ac:dyDescent="0.3">
      <c r="A5" s="4" t="s">
        <v>360</v>
      </c>
      <c r="B5" s="4" t="s">
        <v>804</v>
      </c>
      <c r="C5" s="9">
        <v>2</v>
      </c>
      <c r="D5" s="9">
        <v>3</v>
      </c>
      <c r="E5" s="4">
        <f t="shared" ref="E5:E13" si="0">C5*D5</f>
        <v>6</v>
      </c>
      <c r="F5" s="4" t="str">
        <f t="shared" ref="F5:F13" si="1">IF(E5&gt;=6,"Cao",IF(E5&gt;=3,"Trung bình","Thấp"))</f>
        <v>Cao</v>
      </c>
      <c r="G5" s="4" t="s">
        <v>805</v>
      </c>
      <c r="H5" s="4" t="s">
        <v>408</v>
      </c>
    </row>
    <row r="6" spans="1:8" ht="26.4" x14ac:dyDescent="0.3">
      <c r="A6" s="4" t="s">
        <v>364</v>
      </c>
      <c r="B6" s="4" t="s">
        <v>806</v>
      </c>
      <c r="C6" s="9">
        <v>2</v>
      </c>
      <c r="D6" s="9">
        <v>3</v>
      </c>
      <c r="E6" s="4">
        <f t="shared" si="0"/>
        <v>6</v>
      </c>
      <c r="F6" s="4" t="str">
        <f t="shared" si="1"/>
        <v>Cao</v>
      </c>
      <c r="G6" s="4" t="s">
        <v>807</v>
      </c>
      <c r="H6" s="4" t="s">
        <v>456</v>
      </c>
    </row>
    <row r="7" spans="1:8" ht="26.4" x14ac:dyDescent="0.3">
      <c r="A7" s="4" t="s">
        <v>368</v>
      </c>
      <c r="B7" s="4" t="s">
        <v>808</v>
      </c>
      <c r="C7" s="9">
        <v>2</v>
      </c>
      <c r="D7" s="9">
        <v>2</v>
      </c>
      <c r="E7" s="4">
        <f t="shared" si="0"/>
        <v>4</v>
      </c>
      <c r="F7" s="4" t="str">
        <f t="shared" si="1"/>
        <v>Trung bình</v>
      </c>
      <c r="G7" s="4" t="s">
        <v>809</v>
      </c>
      <c r="H7" s="4" t="s">
        <v>408</v>
      </c>
    </row>
    <row r="8" spans="1:8" x14ac:dyDescent="0.3">
      <c r="A8" s="4" t="s">
        <v>810</v>
      </c>
      <c r="B8" s="4" t="s">
        <v>811</v>
      </c>
      <c r="C8" s="9">
        <v>2</v>
      </c>
      <c r="D8" s="9">
        <v>3</v>
      </c>
      <c r="E8" s="4">
        <f t="shared" si="0"/>
        <v>6</v>
      </c>
      <c r="F8" s="4" t="str">
        <f t="shared" si="1"/>
        <v>Cao</v>
      </c>
      <c r="G8" s="4" t="s">
        <v>812</v>
      </c>
      <c r="H8" s="4" t="s">
        <v>456</v>
      </c>
    </row>
    <row r="9" spans="1:8" x14ac:dyDescent="0.3">
      <c r="A9" s="4" t="s">
        <v>813</v>
      </c>
      <c r="B9" s="4" t="s">
        <v>814</v>
      </c>
      <c r="C9" s="9">
        <v>2</v>
      </c>
      <c r="D9" s="9">
        <v>3</v>
      </c>
      <c r="E9" s="4">
        <f t="shared" si="0"/>
        <v>6</v>
      </c>
      <c r="F9" s="4" t="str">
        <f t="shared" si="1"/>
        <v>Cao</v>
      </c>
      <c r="G9" s="4" t="s">
        <v>815</v>
      </c>
      <c r="H9" s="4" t="s">
        <v>463</v>
      </c>
    </row>
    <row r="10" spans="1:8" ht="26.4" x14ac:dyDescent="0.3">
      <c r="A10" s="4" t="s">
        <v>816</v>
      </c>
      <c r="B10" s="4" t="s">
        <v>817</v>
      </c>
      <c r="C10" s="9">
        <v>2</v>
      </c>
      <c r="D10" s="9">
        <v>2</v>
      </c>
      <c r="E10" s="4">
        <f t="shared" si="0"/>
        <v>4</v>
      </c>
      <c r="F10" s="4" t="str">
        <f t="shared" si="1"/>
        <v>Trung bình</v>
      </c>
      <c r="G10" s="4" t="s">
        <v>818</v>
      </c>
      <c r="H10" s="4" t="s">
        <v>408</v>
      </c>
    </row>
    <row r="11" spans="1:8" x14ac:dyDescent="0.3">
      <c r="A11" s="4" t="s">
        <v>819</v>
      </c>
      <c r="B11" s="4" t="s">
        <v>820</v>
      </c>
      <c r="C11" s="9">
        <v>2</v>
      </c>
      <c r="D11" s="9">
        <v>2</v>
      </c>
      <c r="E11" s="4">
        <f t="shared" si="0"/>
        <v>4</v>
      </c>
      <c r="F11" s="4" t="str">
        <f t="shared" si="1"/>
        <v>Trung bình</v>
      </c>
      <c r="G11" s="4" t="s">
        <v>821</v>
      </c>
      <c r="H11" s="4" t="s">
        <v>456</v>
      </c>
    </row>
    <row r="12" spans="1:8" x14ac:dyDescent="0.3">
      <c r="A12" s="4" t="s">
        <v>822</v>
      </c>
      <c r="B12" s="4" t="s">
        <v>823</v>
      </c>
      <c r="C12" s="9">
        <v>1</v>
      </c>
      <c r="D12" s="9">
        <v>3</v>
      </c>
      <c r="E12" s="4">
        <f t="shared" si="0"/>
        <v>3</v>
      </c>
      <c r="F12" s="4" t="str">
        <f t="shared" si="1"/>
        <v>Trung bình</v>
      </c>
      <c r="G12" s="4" t="s">
        <v>824</v>
      </c>
      <c r="H12" s="4" t="s">
        <v>463</v>
      </c>
    </row>
    <row r="13" spans="1:8" ht="26.4" x14ac:dyDescent="0.3">
      <c r="A13" s="4" t="s">
        <v>825</v>
      </c>
      <c r="B13" s="4" t="s">
        <v>826</v>
      </c>
      <c r="C13" s="9">
        <v>2</v>
      </c>
      <c r="D13" s="9">
        <v>2</v>
      </c>
      <c r="E13" s="4">
        <f t="shared" si="0"/>
        <v>4</v>
      </c>
      <c r="F13" s="4" t="str">
        <f t="shared" si="1"/>
        <v>Trung bình</v>
      </c>
      <c r="G13" s="4" t="s">
        <v>827</v>
      </c>
      <c r="H13" s="4" t="s">
        <v>463</v>
      </c>
    </row>
  </sheetData>
  <autoFilter ref="A4:H13" xr:uid="{00000000-0009-0000-0000-00000A000000}"/>
  <conditionalFormatting sqref="E5:E13">
    <cfRule type="cellIs" dxfId="1" priority="1" operator="greaterThanOrEqual">
      <formula>6</formula>
    </cfRule>
    <cfRule type="cellIs" dxfId="0" priority="2" operator="between">
      <formula>3</formula>
      <formula>5</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A9DB"/>
  </sheetPr>
  <dimension ref="A1:J51"/>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46" customWidth="1"/>
    <col min="3" max="3" width="26" customWidth="1"/>
    <col min="4" max="4" width="7" customWidth="1"/>
    <col min="5" max="5" width="24" customWidth="1"/>
    <col min="6" max="6" width="7" customWidth="1"/>
    <col min="7" max="7" width="22" customWidth="1"/>
    <col min="8" max="8" width="26" customWidth="1"/>
    <col min="9" max="10" width="40" customWidth="1"/>
  </cols>
  <sheetData>
    <row r="1" spans="1:10" ht="17.399999999999999" x14ac:dyDescent="0.3">
      <c r="A1" s="1" t="s">
        <v>828</v>
      </c>
    </row>
    <row r="2" spans="1:10" x14ac:dyDescent="0.3">
      <c r="A2" s="2" t="s">
        <v>829</v>
      </c>
    </row>
    <row r="4" spans="1:10" x14ac:dyDescent="0.3">
      <c r="A4" s="3" t="s">
        <v>830</v>
      </c>
      <c r="B4" s="3" t="s">
        <v>831</v>
      </c>
      <c r="C4" s="3" t="s">
        <v>832</v>
      </c>
      <c r="D4" s="3" t="s">
        <v>833</v>
      </c>
      <c r="E4" s="3" t="s">
        <v>834</v>
      </c>
      <c r="F4" s="3" t="s">
        <v>835</v>
      </c>
      <c r="G4" s="3" t="s">
        <v>836</v>
      </c>
      <c r="H4" s="3" t="s">
        <v>837</v>
      </c>
      <c r="I4" s="3" t="s">
        <v>838</v>
      </c>
      <c r="J4" s="3" t="s">
        <v>839</v>
      </c>
    </row>
    <row r="5" spans="1:10" ht="26.4" x14ac:dyDescent="0.3">
      <c r="A5" s="4">
        <v>1</v>
      </c>
      <c r="B5" s="4" t="s">
        <v>840</v>
      </c>
      <c r="C5" s="4" t="s">
        <v>841</v>
      </c>
      <c r="D5" s="4">
        <v>2021</v>
      </c>
      <c r="E5" s="4" t="s">
        <v>842</v>
      </c>
      <c r="F5" s="4" t="s">
        <v>843</v>
      </c>
      <c r="G5" s="4" t="s">
        <v>844</v>
      </c>
      <c r="H5" s="4" t="s">
        <v>845</v>
      </c>
      <c r="I5" s="4" t="s">
        <v>846</v>
      </c>
      <c r="J5" s="21" t="s">
        <v>847</v>
      </c>
    </row>
    <row r="6" spans="1:10" ht="39.6" x14ac:dyDescent="0.3">
      <c r="A6" s="4">
        <v>2</v>
      </c>
      <c r="B6" s="4" t="s">
        <v>848</v>
      </c>
      <c r="C6" s="4" t="s">
        <v>849</v>
      </c>
      <c r="D6" s="4">
        <v>2022</v>
      </c>
      <c r="E6" s="4" t="s">
        <v>850</v>
      </c>
      <c r="F6" s="4" t="s">
        <v>843</v>
      </c>
      <c r="G6" s="4" t="s">
        <v>844</v>
      </c>
      <c r="H6" s="4" t="s">
        <v>851</v>
      </c>
      <c r="I6" s="4" t="s">
        <v>852</v>
      </c>
      <c r="J6" s="21" t="s">
        <v>853</v>
      </c>
    </row>
    <row r="7" spans="1:10" ht="39.6" x14ac:dyDescent="0.3">
      <c r="A7" s="4">
        <v>3</v>
      </c>
      <c r="B7" s="4" t="s">
        <v>854</v>
      </c>
      <c r="C7" s="4" t="s">
        <v>855</v>
      </c>
      <c r="D7" s="4">
        <v>2022</v>
      </c>
      <c r="E7" s="4" t="s">
        <v>856</v>
      </c>
      <c r="F7" s="4" t="s">
        <v>843</v>
      </c>
      <c r="G7" s="4" t="s">
        <v>857</v>
      </c>
      <c r="H7" s="4" t="s">
        <v>858</v>
      </c>
      <c r="I7" s="4" t="s">
        <v>859</v>
      </c>
      <c r="J7" s="21" t="s">
        <v>860</v>
      </c>
    </row>
    <row r="8" spans="1:10" ht="26.4" x14ac:dyDescent="0.3">
      <c r="A8" s="4">
        <v>4</v>
      </c>
      <c r="B8" s="4" t="s">
        <v>861</v>
      </c>
      <c r="C8" s="4" t="s">
        <v>862</v>
      </c>
      <c r="D8" s="4">
        <v>2012</v>
      </c>
      <c r="E8" s="4" t="s">
        <v>863</v>
      </c>
      <c r="F8" s="4" t="s">
        <v>843</v>
      </c>
      <c r="G8" s="4" t="s">
        <v>864</v>
      </c>
      <c r="H8" s="4" t="s">
        <v>865</v>
      </c>
      <c r="I8" s="4" t="s">
        <v>866</v>
      </c>
      <c r="J8" s="21" t="s">
        <v>867</v>
      </c>
    </row>
    <row r="9" spans="1:10" ht="26.4" x14ac:dyDescent="0.3">
      <c r="A9" s="4">
        <v>5</v>
      </c>
      <c r="B9" s="4" t="s">
        <v>868</v>
      </c>
      <c r="C9" s="4" t="s">
        <v>869</v>
      </c>
      <c r="D9" s="4">
        <v>2025</v>
      </c>
      <c r="E9" s="4" t="s">
        <v>870</v>
      </c>
      <c r="F9" s="4" t="s">
        <v>871</v>
      </c>
      <c r="G9" s="4" t="s">
        <v>872</v>
      </c>
      <c r="H9" s="4" t="s">
        <v>873</v>
      </c>
      <c r="I9" s="4" t="s">
        <v>874</v>
      </c>
      <c r="J9" s="21" t="s">
        <v>875</v>
      </c>
    </row>
    <row r="10" spans="1:10" ht="26.4" x14ac:dyDescent="0.3">
      <c r="A10" s="4">
        <v>6</v>
      </c>
      <c r="B10" s="4" t="s">
        <v>876</v>
      </c>
      <c r="C10" s="4" t="s">
        <v>877</v>
      </c>
      <c r="D10" s="4">
        <v>2020</v>
      </c>
      <c r="E10" s="4" t="s">
        <v>878</v>
      </c>
      <c r="F10" s="4" t="s">
        <v>843</v>
      </c>
      <c r="G10" s="4" t="s">
        <v>879</v>
      </c>
      <c r="H10" s="4" t="s">
        <v>880</v>
      </c>
      <c r="I10" s="4" t="s">
        <v>881</v>
      </c>
      <c r="J10" s="21" t="s">
        <v>882</v>
      </c>
    </row>
    <row r="11" spans="1:10" ht="26.4" x14ac:dyDescent="0.3">
      <c r="A11" s="4">
        <v>7</v>
      </c>
      <c r="B11" s="4" t="s">
        <v>883</v>
      </c>
      <c r="C11" s="4" t="s">
        <v>884</v>
      </c>
      <c r="D11" s="4">
        <v>2021</v>
      </c>
      <c r="E11" s="4" t="s">
        <v>885</v>
      </c>
      <c r="F11" s="4" t="s">
        <v>843</v>
      </c>
      <c r="G11" s="4" t="s">
        <v>886</v>
      </c>
      <c r="H11" s="4" t="s">
        <v>887</v>
      </c>
      <c r="I11" s="4" t="s">
        <v>888</v>
      </c>
      <c r="J11" s="21" t="s">
        <v>889</v>
      </c>
    </row>
    <row r="12" spans="1:10" ht="26.4" x14ac:dyDescent="0.3">
      <c r="A12" s="4">
        <v>8</v>
      </c>
      <c r="B12" s="4" t="s">
        <v>890</v>
      </c>
      <c r="C12" s="4" t="s">
        <v>891</v>
      </c>
      <c r="D12" s="4">
        <v>2024</v>
      </c>
      <c r="E12" s="4" t="s">
        <v>892</v>
      </c>
      <c r="F12" s="4" t="s">
        <v>843</v>
      </c>
      <c r="G12" s="4" t="s">
        <v>879</v>
      </c>
      <c r="H12" s="4" t="s">
        <v>893</v>
      </c>
      <c r="I12" s="4" t="s">
        <v>894</v>
      </c>
      <c r="J12" s="21" t="s">
        <v>895</v>
      </c>
    </row>
    <row r="13" spans="1:10" ht="26.4" x14ac:dyDescent="0.3">
      <c r="A13" s="4">
        <v>9</v>
      </c>
      <c r="B13" s="4" t="s">
        <v>896</v>
      </c>
      <c r="C13" s="4" t="s">
        <v>897</v>
      </c>
      <c r="D13" s="4" t="s">
        <v>898</v>
      </c>
      <c r="E13" s="4" t="s">
        <v>899</v>
      </c>
      <c r="F13" s="4" t="s">
        <v>843</v>
      </c>
      <c r="G13" s="4" t="s">
        <v>900</v>
      </c>
      <c r="H13" s="4" t="s">
        <v>901</v>
      </c>
      <c r="I13" s="4" t="s">
        <v>902</v>
      </c>
      <c r="J13" s="21" t="s">
        <v>903</v>
      </c>
    </row>
    <row r="14" spans="1:10" ht="26.4" x14ac:dyDescent="0.3">
      <c r="A14" s="4">
        <v>10</v>
      </c>
      <c r="B14" s="4" t="s">
        <v>904</v>
      </c>
      <c r="C14" s="4" t="s">
        <v>905</v>
      </c>
      <c r="D14" s="4">
        <v>2025</v>
      </c>
      <c r="E14" s="4" t="s">
        <v>906</v>
      </c>
      <c r="F14" s="4" t="s">
        <v>843</v>
      </c>
      <c r="G14" s="4" t="s">
        <v>879</v>
      </c>
      <c r="H14" s="4" t="s">
        <v>907</v>
      </c>
      <c r="I14" s="4" t="s">
        <v>908</v>
      </c>
      <c r="J14" s="21" t="s">
        <v>909</v>
      </c>
    </row>
    <row r="15" spans="1:10" ht="26.4" x14ac:dyDescent="0.3">
      <c r="A15" s="4">
        <v>11</v>
      </c>
      <c r="B15" s="4" t="s">
        <v>910</v>
      </c>
      <c r="C15" s="4" t="s">
        <v>911</v>
      </c>
      <c r="D15" s="4">
        <v>2024</v>
      </c>
      <c r="E15" s="4" t="s">
        <v>912</v>
      </c>
      <c r="F15" s="4" t="s">
        <v>843</v>
      </c>
      <c r="G15" s="4" t="s">
        <v>913</v>
      </c>
      <c r="H15" s="4" t="s">
        <v>914</v>
      </c>
      <c r="I15" s="4" t="s">
        <v>915</v>
      </c>
      <c r="J15" s="21" t="s">
        <v>916</v>
      </c>
    </row>
    <row r="16" spans="1:10" ht="26.4" x14ac:dyDescent="0.3">
      <c r="A16" s="4">
        <v>12</v>
      </c>
      <c r="B16" s="4" t="s">
        <v>917</v>
      </c>
      <c r="C16" s="4" t="s">
        <v>918</v>
      </c>
      <c r="D16" s="4">
        <v>2024</v>
      </c>
      <c r="E16" s="4" t="s">
        <v>919</v>
      </c>
      <c r="F16" s="4" t="s">
        <v>843</v>
      </c>
      <c r="G16" s="4" t="s">
        <v>920</v>
      </c>
      <c r="H16" s="4" t="s">
        <v>921</v>
      </c>
      <c r="I16" s="4" t="s">
        <v>922</v>
      </c>
      <c r="J16" s="21" t="s">
        <v>923</v>
      </c>
    </row>
    <row r="17" spans="1:10" ht="26.4" x14ac:dyDescent="0.3">
      <c r="A17" s="4">
        <v>13</v>
      </c>
      <c r="B17" s="4" t="s">
        <v>924</v>
      </c>
      <c r="C17" s="4" t="s">
        <v>925</v>
      </c>
      <c r="D17" s="4">
        <v>2024</v>
      </c>
      <c r="E17" s="4" t="s">
        <v>926</v>
      </c>
      <c r="F17" s="4" t="s">
        <v>843</v>
      </c>
      <c r="G17" s="4" t="s">
        <v>879</v>
      </c>
      <c r="H17" s="4" t="s">
        <v>927</v>
      </c>
      <c r="I17" s="4" t="s">
        <v>928</v>
      </c>
      <c r="J17" s="21" t="s">
        <v>929</v>
      </c>
    </row>
    <row r="18" spans="1:10" ht="39.6" x14ac:dyDescent="0.3">
      <c r="A18" s="4">
        <v>14</v>
      </c>
      <c r="B18" s="4" t="s">
        <v>930</v>
      </c>
      <c r="C18" s="4" t="s">
        <v>931</v>
      </c>
      <c r="D18" s="4">
        <v>2025</v>
      </c>
      <c r="E18" s="4" t="s">
        <v>932</v>
      </c>
      <c r="F18" s="4" t="s">
        <v>843</v>
      </c>
      <c r="G18" s="4" t="s">
        <v>886</v>
      </c>
      <c r="H18" s="4" t="s">
        <v>933</v>
      </c>
      <c r="I18" s="4" t="s">
        <v>934</v>
      </c>
      <c r="J18" s="21" t="s">
        <v>935</v>
      </c>
    </row>
    <row r="19" spans="1:10" ht="26.4" x14ac:dyDescent="0.3">
      <c r="A19" s="4">
        <v>15</v>
      </c>
      <c r="B19" s="4" t="s">
        <v>936</v>
      </c>
      <c r="C19" s="4" t="s">
        <v>937</v>
      </c>
      <c r="D19" s="4">
        <v>2025</v>
      </c>
      <c r="E19" s="4" t="s">
        <v>938</v>
      </c>
      <c r="F19" s="4" t="s">
        <v>939</v>
      </c>
      <c r="G19" s="4" t="s">
        <v>940</v>
      </c>
      <c r="H19" s="4" t="s">
        <v>941</v>
      </c>
      <c r="I19" s="4" t="s">
        <v>942</v>
      </c>
      <c r="J19" s="21" t="s">
        <v>943</v>
      </c>
    </row>
    <row r="20" spans="1:10" ht="26.4" x14ac:dyDescent="0.3">
      <c r="A20" s="4">
        <v>16</v>
      </c>
      <c r="B20" s="4" t="s">
        <v>944</v>
      </c>
      <c r="C20" s="4" t="s">
        <v>945</v>
      </c>
      <c r="D20" s="4">
        <v>2025</v>
      </c>
      <c r="E20" s="4" t="s">
        <v>946</v>
      </c>
      <c r="F20" s="4" t="s">
        <v>843</v>
      </c>
      <c r="G20" s="4" t="s">
        <v>886</v>
      </c>
      <c r="H20" s="4" t="s">
        <v>947</v>
      </c>
      <c r="I20" s="4" t="s">
        <v>948</v>
      </c>
      <c r="J20" s="21" t="s">
        <v>949</v>
      </c>
    </row>
    <row r="21" spans="1:10" ht="26.4" x14ac:dyDescent="0.3">
      <c r="A21" s="4">
        <v>17</v>
      </c>
      <c r="B21" s="4" t="s">
        <v>950</v>
      </c>
      <c r="C21" s="4" t="s">
        <v>937</v>
      </c>
      <c r="D21" s="4">
        <v>2026</v>
      </c>
      <c r="E21" s="4" t="s">
        <v>951</v>
      </c>
      <c r="F21" s="4" t="s">
        <v>939</v>
      </c>
      <c r="G21" s="4" t="s">
        <v>952</v>
      </c>
      <c r="H21" s="4" t="s">
        <v>427</v>
      </c>
      <c r="I21" s="4" t="s">
        <v>953</v>
      </c>
      <c r="J21" s="21" t="s">
        <v>954</v>
      </c>
    </row>
    <row r="22" spans="1:10" ht="26.4" x14ac:dyDescent="0.3">
      <c r="A22" s="4">
        <v>18</v>
      </c>
      <c r="B22" s="4" t="s">
        <v>955</v>
      </c>
      <c r="C22" s="4" t="s">
        <v>937</v>
      </c>
      <c r="D22" s="4">
        <v>2026</v>
      </c>
      <c r="E22" s="4" t="s">
        <v>956</v>
      </c>
      <c r="F22" s="4" t="s">
        <v>939</v>
      </c>
      <c r="G22" s="4" t="s">
        <v>952</v>
      </c>
      <c r="H22" s="4" t="s">
        <v>957</v>
      </c>
      <c r="I22" s="4" t="s">
        <v>958</v>
      </c>
      <c r="J22" s="21" t="s">
        <v>959</v>
      </c>
    </row>
    <row r="23" spans="1:10" ht="26.4" x14ac:dyDescent="0.3">
      <c r="A23" s="4">
        <v>19</v>
      </c>
      <c r="B23" s="4" t="s">
        <v>960</v>
      </c>
      <c r="C23" s="4" t="s">
        <v>897</v>
      </c>
      <c r="D23" s="4">
        <v>2025</v>
      </c>
      <c r="E23" s="4" t="s">
        <v>961</v>
      </c>
      <c r="F23" s="4" t="s">
        <v>843</v>
      </c>
      <c r="G23" s="4" t="s">
        <v>962</v>
      </c>
      <c r="H23" s="4" t="s">
        <v>963</v>
      </c>
      <c r="I23" s="4" t="s">
        <v>964</v>
      </c>
      <c r="J23" s="21" t="s">
        <v>965</v>
      </c>
    </row>
    <row r="24" spans="1:10" ht="26.4" x14ac:dyDescent="0.3">
      <c r="A24" s="4">
        <v>20</v>
      </c>
      <c r="B24" s="4" t="s">
        <v>966</v>
      </c>
      <c r="C24" s="4" t="s">
        <v>897</v>
      </c>
      <c r="D24" s="4">
        <v>2025</v>
      </c>
      <c r="E24" s="4" t="s">
        <v>967</v>
      </c>
      <c r="F24" s="4" t="s">
        <v>843</v>
      </c>
      <c r="G24" s="4" t="s">
        <v>962</v>
      </c>
      <c r="H24" s="4" t="s">
        <v>968</v>
      </c>
      <c r="I24" s="4" t="s">
        <v>969</v>
      </c>
      <c r="J24" s="21" t="s">
        <v>970</v>
      </c>
    </row>
    <row r="25" spans="1:10" ht="26.4" x14ac:dyDescent="0.3">
      <c r="A25" s="4">
        <v>21</v>
      </c>
      <c r="B25" s="4" t="s">
        <v>971</v>
      </c>
      <c r="C25" s="4" t="s">
        <v>897</v>
      </c>
      <c r="D25" s="4">
        <v>2024</v>
      </c>
      <c r="E25" s="4" t="s">
        <v>972</v>
      </c>
      <c r="F25" s="4" t="s">
        <v>843</v>
      </c>
      <c r="G25" s="4" t="s">
        <v>962</v>
      </c>
      <c r="H25" s="4" t="s">
        <v>968</v>
      </c>
      <c r="I25" s="4" t="s">
        <v>973</v>
      </c>
      <c r="J25" s="21" t="s">
        <v>974</v>
      </c>
    </row>
    <row r="26" spans="1:10" ht="26.4" x14ac:dyDescent="0.3">
      <c r="A26" s="4">
        <v>22</v>
      </c>
      <c r="B26" s="4" t="s">
        <v>975</v>
      </c>
      <c r="C26" s="4" t="s">
        <v>976</v>
      </c>
      <c r="D26" s="4">
        <v>2026</v>
      </c>
      <c r="E26" s="4" t="s">
        <v>870</v>
      </c>
      <c r="F26" s="4" t="s">
        <v>871</v>
      </c>
      <c r="G26" s="4" t="s">
        <v>872</v>
      </c>
      <c r="H26" s="4" t="s">
        <v>977</v>
      </c>
      <c r="I26" s="4" t="s">
        <v>978</v>
      </c>
      <c r="J26" s="21" t="s">
        <v>979</v>
      </c>
    </row>
    <row r="27" spans="1:10" ht="26.4" x14ac:dyDescent="0.3">
      <c r="A27" s="4">
        <v>23</v>
      </c>
      <c r="B27" s="4" t="s">
        <v>980</v>
      </c>
      <c r="C27" s="4" t="s">
        <v>981</v>
      </c>
      <c r="D27" s="4">
        <v>2025</v>
      </c>
      <c r="E27" s="4" t="s">
        <v>982</v>
      </c>
      <c r="F27" s="4" t="s">
        <v>871</v>
      </c>
      <c r="G27" s="4" t="s">
        <v>983</v>
      </c>
      <c r="H27" s="4" t="s">
        <v>984</v>
      </c>
      <c r="I27" s="4" t="s">
        <v>985</v>
      </c>
      <c r="J27" s="21" t="s">
        <v>986</v>
      </c>
    </row>
    <row r="28" spans="1:10" ht="26.4" x14ac:dyDescent="0.3">
      <c r="A28" s="4">
        <v>24</v>
      </c>
      <c r="B28" s="4" t="s">
        <v>987</v>
      </c>
      <c r="C28" s="4" t="s">
        <v>897</v>
      </c>
      <c r="D28" s="4">
        <v>2025</v>
      </c>
      <c r="E28" s="4" t="s">
        <v>870</v>
      </c>
      <c r="F28" s="4" t="s">
        <v>871</v>
      </c>
      <c r="G28" s="4" t="s">
        <v>962</v>
      </c>
      <c r="H28" s="4" t="s">
        <v>988</v>
      </c>
      <c r="I28" s="4" t="s">
        <v>989</v>
      </c>
      <c r="J28" s="21" t="s">
        <v>990</v>
      </c>
    </row>
    <row r="29" spans="1:10" ht="26.4" x14ac:dyDescent="0.3">
      <c r="A29" s="4">
        <v>25</v>
      </c>
      <c r="B29" s="4" t="s">
        <v>991</v>
      </c>
      <c r="C29" s="4" t="s">
        <v>992</v>
      </c>
      <c r="D29" s="4">
        <v>2024</v>
      </c>
      <c r="E29" s="4" t="s">
        <v>993</v>
      </c>
      <c r="F29" s="4" t="s">
        <v>939</v>
      </c>
      <c r="G29" s="4" t="s">
        <v>962</v>
      </c>
      <c r="H29" s="4" t="s">
        <v>994</v>
      </c>
      <c r="I29" s="4" t="s">
        <v>995</v>
      </c>
      <c r="J29" s="21" t="s">
        <v>996</v>
      </c>
    </row>
    <row r="30" spans="1:10" ht="26.4" x14ac:dyDescent="0.3">
      <c r="A30" s="4">
        <v>26</v>
      </c>
      <c r="B30" s="4" t="s">
        <v>997</v>
      </c>
      <c r="C30" s="4" t="s">
        <v>998</v>
      </c>
      <c r="D30" s="4">
        <v>2024</v>
      </c>
      <c r="E30" s="4" t="s">
        <v>999</v>
      </c>
      <c r="F30" s="4" t="s">
        <v>1000</v>
      </c>
      <c r="G30" s="4" t="s">
        <v>962</v>
      </c>
      <c r="H30" s="4" t="s">
        <v>1001</v>
      </c>
      <c r="I30" s="4" t="s">
        <v>1002</v>
      </c>
      <c r="J30" s="21" t="s">
        <v>1003</v>
      </c>
    </row>
    <row r="31" spans="1:10" ht="39.6" x14ac:dyDescent="0.3">
      <c r="A31" s="4">
        <v>27</v>
      </c>
      <c r="B31" s="4" t="s">
        <v>1004</v>
      </c>
      <c r="C31" s="4" t="s">
        <v>1005</v>
      </c>
      <c r="D31" s="4">
        <v>2025</v>
      </c>
      <c r="E31" s="4" t="s">
        <v>1006</v>
      </c>
      <c r="F31" s="4" t="s">
        <v>939</v>
      </c>
      <c r="G31" s="4" t="s">
        <v>962</v>
      </c>
      <c r="H31" s="4" t="s">
        <v>1007</v>
      </c>
      <c r="I31" s="4" t="s">
        <v>1008</v>
      </c>
      <c r="J31" s="21" t="s">
        <v>1009</v>
      </c>
    </row>
    <row r="32" spans="1:10" ht="39.6" x14ac:dyDescent="0.3">
      <c r="A32" s="4">
        <v>28</v>
      </c>
      <c r="B32" s="4" t="s">
        <v>1010</v>
      </c>
      <c r="C32" s="4" t="s">
        <v>1011</v>
      </c>
      <c r="D32" s="4">
        <v>2025</v>
      </c>
      <c r="E32" s="4" t="s">
        <v>1012</v>
      </c>
      <c r="F32" s="4" t="s">
        <v>1000</v>
      </c>
      <c r="G32" s="4" t="s">
        <v>962</v>
      </c>
      <c r="H32" s="4" t="s">
        <v>1013</v>
      </c>
      <c r="I32" s="4" t="s">
        <v>1014</v>
      </c>
      <c r="J32" s="21" t="s">
        <v>1015</v>
      </c>
    </row>
    <row r="33" spans="1:10" ht="26.4" x14ac:dyDescent="0.3">
      <c r="A33" s="4">
        <v>29</v>
      </c>
      <c r="B33" s="4" t="s">
        <v>624</v>
      </c>
      <c r="C33" s="4" t="s">
        <v>1016</v>
      </c>
      <c r="D33" s="4">
        <v>2025</v>
      </c>
      <c r="E33" s="4" t="s">
        <v>1017</v>
      </c>
      <c r="F33" s="4" t="s">
        <v>939</v>
      </c>
      <c r="G33" s="4" t="s">
        <v>1018</v>
      </c>
      <c r="H33" s="4" t="s">
        <v>1019</v>
      </c>
      <c r="I33" s="4" t="s">
        <v>1020</v>
      </c>
      <c r="J33" s="21" t="s">
        <v>1021</v>
      </c>
    </row>
    <row r="34" spans="1:10" ht="26.4" x14ac:dyDescent="0.3">
      <c r="A34" s="4">
        <v>30</v>
      </c>
      <c r="B34" s="4" t="s">
        <v>1022</v>
      </c>
      <c r="C34" s="4" t="s">
        <v>1023</v>
      </c>
      <c r="D34" s="4">
        <v>2025</v>
      </c>
      <c r="E34" s="4" t="s">
        <v>1017</v>
      </c>
      <c r="F34" s="4" t="s">
        <v>939</v>
      </c>
      <c r="G34" s="4" t="s">
        <v>1024</v>
      </c>
      <c r="H34" s="4" t="s">
        <v>1025</v>
      </c>
      <c r="I34" s="4" t="s">
        <v>1026</v>
      </c>
      <c r="J34" s="21" t="s">
        <v>1027</v>
      </c>
    </row>
    <row r="35" spans="1:10" ht="26.4" x14ac:dyDescent="0.3">
      <c r="A35" s="4">
        <v>31</v>
      </c>
      <c r="B35" s="4" t="s">
        <v>1028</v>
      </c>
      <c r="C35" s="4" t="s">
        <v>1029</v>
      </c>
      <c r="D35" s="4" t="s">
        <v>898</v>
      </c>
      <c r="E35" s="4" t="s">
        <v>1030</v>
      </c>
      <c r="F35" s="4" t="s">
        <v>1031</v>
      </c>
      <c r="G35" s="4" t="s">
        <v>1032</v>
      </c>
      <c r="H35" s="4" t="s">
        <v>1033</v>
      </c>
      <c r="I35" s="4" t="s">
        <v>1034</v>
      </c>
      <c r="J35" s="21" t="s">
        <v>1035</v>
      </c>
    </row>
    <row r="36" spans="1:10" ht="26.4" x14ac:dyDescent="0.3">
      <c r="A36" s="4">
        <v>32</v>
      </c>
      <c r="B36" s="4" t="s">
        <v>1036</v>
      </c>
      <c r="C36" s="4" t="s">
        <v>1037</v>
      </c>
      <c r="D36" s="4">
        <v>1989</v>
      </c>
      <c r="E36" s="4" t="s">
        <v>1038</v>
      </c>
      <c r="F36" s="4" t="s">
        <v>1031</v>
      </c>
      <c r="G36" s="4" t="s">
        <v>1032</v>
      </c>
      <c r="H36" s="4" t="s">
        <v>597</v>
      </c>
      <c r="I36" s="4" t="s">
        <v>1039</v>
      </c>
      <c r="J36" s="21" t="s">
        <v>1040</v>
      </c>
    </row>
    <row r="37" spans="1:10" ht="26.4" x14ac:dyDescent="0.3">
      <c r="A37" s="4">
        <v>33</v>
      </c>
      <c r="B37" s="4" t="s">
        <v>1041</v>
      </c>
      <c r="C37" s="4" t="s">
        <v>1042</v>
      </c>
      <c r="D37" s="4">
        <v>2001</v>
      </c>
      <c r="E37" s="4" t="s">
        <v>1043</v>
      </c>
      <c r="F37" s="4" t="s">
        <v>1031</v>
      </c>
      <c r="G37" s="4" t="s">
        <v>1032</v>
      </c>
      <c r="H37" s="4" t="s">
        <v>602</v>
      </c>
      <c r="I37" s="4" t="s">
        <v>1044</v>
      </c>
      <c r="J37" s="4"/>
    </row>
    <row r="38" spans="1:10" ht="26.4" x14ac:dyDescent="0.3">
      <c r="A38" s="4">
        <v>34</v>
      </c>
      <c r="B38" s="4" t="s">
        <v>1045</v>
      </c>
      <c r="C38" s="4" t="s">
        <v>1046</v>
      </c>
      <c r="D38" s="4">
        <v>1995</v>
      </c>
      <c r="E38" s="4" t="s">
        <v>1047</v>
      </c>
      <c r="F38" s="4" t="s">
        <v>1031</v>
      </c>
      <c r="G38" s="4" t="s">
        <v>1032</v>
      </c>
      <c r="H38" s="4" t="s">
        <v>592</v>
      </c>
      <c r="I38" s="4" t="s">
        <v>1048</v>
      </c>
      <c r="J38" s="21" t="s">
        <v>1049</v>
      </c>
    </row>
    <row r="39" spans="1:10" ht="26.4" x14ac:dyDescent="0.3">
      <c r="A39" s="4">
        <v>35</v>
      </c>
      <c r="B39" s="4" t="s">
        <v>1050</v>
      </c>
      <c r="C39" s="4" t="s">
        <v>1051</v>
      </c>
      <c r="D39" s="4">
        <v>2003</v>
      </c>
      <c r="E39" s="4" t="s">
        <v>1052</v>
      </c>
      <c r="F39" s="4" t="s">
        <v>1031</v>
      </c>
      <c r="G39" s="4" t="s">
        <v>1032</v>
      </c>
      <c r="H39" s="4" t="s">
        <v>607</v>
      </c>
      <c r="I39" s="4" t="s">
        <v>1053</v>
      </c>
      <c r="J39" s="21" t="s">
        <v>1054</v>
      </c>
    </row>
    <row r="40" spans="1:10" ht="26.4" x14ac:dyDescent="0.3">
      <c r="A40" s="4">
        <v>36</v>
      </c>
      <c r="B40" s="4" t="s">
        <v>1055</v>
      </c>
      <c r="C40" s="4" t="s">
        <v>1056</v>
      </c>
      <c r="D40" s="4">
        <v>2016</v>
      </c>
      <c r="E40" s="4" t="s">
        <v>1057</v>
      </c>
      <c r="F40" s="4" t="s">
        <v>1031</v>
      </c>
      <c r="G40" s="4" t="s">
        <v>1032</v>
      </c>
      <c r="H40" s="4" t="s">
        <v>602</v>
      </c>
      <c r="I40" s="4" t="s">
        <v>1058</v>
      </c>
      <c r="J40" s="21" t="s">
        <v>1059</v>
      </c>
    </row>
    <row r="41" spans="1:10" x14ac:dyDescent="0.3">
      <c r="A41" s="4">
        <v>37</v>
      </c>
      <c r="B41" s="4" t="s">
        <v>1060</v>
      </c>
      <c r="C41" s="4" t="s">
        <v>1061</v>
      </c>
      <c r="D41" s="4" t="s">
        <v>898</v>
      </c>
      <c r="E41" s="4" t="s">
        <v>1017</v>
      </c>
      <c r="F41" s="4" t="s">
        <v>939</v>
      </c>
      <c r="G41" s="4" t="s">
        <v>1062</v>
      </c>
      <c r="H41" s="4" t="s">
        <v>451</v>
      </c>
      <c r="I41" s="4" t="s">
        <v>1063</v>
      </c>
      <c r="J41" s="21" t="s">
        <v>1064</v>
      </c>
    </row>
    <row r="42" spans="1:10" ht="26.4" x14ac:dyDescent="0.3">
      <c r="A42" s="4">
        <v>38</v>
      </c>
      <c r="B42" s="4" t="s">
        <v>1065</v>
      </c>
      <c r="C42" s="4" t="s">
        <v>1066</v>
      </c>
      <c r="D42" s="4" t="s">
        <v>898</v>
      </c>
      <c r="E42" s="4" t="s">
        <v>1067</v>
      </c>
      <c r="F42" s="4" t="s">
        <v>939</v>
      </c>
      <c r="G42" s="4" t="s">
        <v>1062</v>
      </c>
      <c r="H42" s="4" t="s">
        <v>1068</v>
      </c>
      <c r="I42" s="4" t="s">
        <v>1069</v>
      </c>
      <c r="J42" s="21" t="s">
        <v>1070</v>
      </c>
    </row>
    <row r="44" spans="1:10" x14ac:dyDescent="0.3">
      <c r="A44" s="2" t="s">
        <v>1071</v>
      </c>
    </row>
    <row r="46" spans="1:10" x14ac:dyDescent="0.3">
      <c r="A46" s="5" t="s">
        <v>1072</v>
      </c>
    </row>
    <row r="47" spans="1:10" x14ac:dyDescent="0.3">
      <c r="A47" s="6" t="s">
        <v>843</v>
      </c>
      <c r="B47" s="7">
        <f>COUNTIF($F$5:$F$42,A47)</f>
        <v>17</v>
      </c>
    </row>
    <row r="48" spans="1:10" x14ac:dyDescent="0.3">
      <c r="A48" s="6" t="s">
        <v>871</v>
      </c>
      <c r="B48" s="7">
        <f>COUNTIF($F$5:$F$42,A48)</f>
        <v>4</v>
      </c>
    </row>
    <row r="49" spans="1:2" x14ac:dyDescent="0.3">
      <c r="A49" s="6" t="s">
        <v>939</v>
      </c>
      <c r="B49" s="7">
        <f>COUNTIF($F$5:$F$42,A49)</f>
        <v>9</v>
      </c>
    </row>
    <row r="50" spans="1:2" x14ac:dyDescent="0.3">
      <c r="A50" s="6" t="s">
        <v>1000</v>
      </c>
      <c r="B50" s="7">
        <f>COUNTIF($F$5:$F$42,A50)</f>
        <v>2</v>
      </c>
    </row>
    <row r="51" spans="1:2" x14ac:dyDescent="0.3">
      <c r="A51" s="6" t="s">
        <v>1031</v>
      </c>
      <c r="B51" s="7">
        <f>COUNTIF($F$5:$F$42,A51)</f>
        <v>6</v>
      </c>
    </row>
  </sheetData>
  <autoFilter ref="A4:J42" xr:uid="{00000000-0009-0000-0000-00000B000000}"/>
  <hyperlinks>
    <hyperlink ref="J5" r:id="rId1" xr:uid="{00000000-0004-0000-0B00-000000000000}"/>
    <hyperlink ref="J6" r:id="rId2" xr:uid="{00000000-0004-0000-0B00-000001000000}"/>
    <hyperlink ref="J7" r:id="rId3" xr:uid="{00000000-0004-0000-0B00-000002000000}"/>
    <hyperlink ref="J8" r:id="rId4" xr:uid="{00000000-0004-0000-0B00-000003000000}"/>
    <hyperlink ref="J9" r:id="rId5" xr:uid="{00000000-0004-0000-0B00-000004000000}"/>
    <hyperlink ref="J10" r:id="rId6" xr:uid="{00000000-0004-0000-0B00-000005000000}"/>
    <hyperlink ref="J11" r:id="rId7" xr:uid="{00000000-0004-0000-0B00-000006000000}"/>
    <hyperlink ref="J12" r:id="rId8" xr:uid="{00000000-0004-0000-0B00-000007000000}"/>
    <hyperlink ref="J13" r:id="rId9" xr:uid="{00000000-0004-0000-0B00-000008000000}"/>
    <hyperlink ref="J14" r:id="rId10" xr:uid="{00000000-0004-0000-0B00-000009000000}"/>
    <hyperlink ref="J15" r:id="rId11" xr:uid="{00000000-0004-0000-0B00-00000A000000}"/>
    <hyperlink ref="J16" r:id="rId12" xr:uid="{00000000-0004-0000-0B00-00000B000000}"/>
    <hyperlink ref="J17" r:id="rId13" xr:uid="{00000000-0004-0000-0B00-00000C000000}"/>
    <hyperlink ref="J18" r:id="rId14" xr:uid="{00000000-0004-0000-0B00-00000D000000}"/>
    <hyperlink ref="J19" r:id="rId15" xr:uid="{00000000-0004-0000-0B00-00000E000000}"/>
    <hyperlink ref="J20" r:id="rId16" xr:uid="{00000000-0004-0000-0B00-00000F000000}"/>
    <hyperlink ref="J21" r:id="rId17" xr:uid="{00000000-0004-0000-0B00-000010000000}"/>
    <hyperlink ref="J22" r:id="rId18" xr:uid="{00000000-0004-0000-0B00-000011000000}"/>
    <hyperlink ref="J23" r:id="rId19" xr:uid="{00000000-0004-0000-0B00-000012000000}"/>
    <hyperlink ref="J24" r:id="rId20" xr:uid="{00000000-0004-0000-0B00-000013000000}"/>
    <hyperlink ref="J25" r:id="rId21" xr:uid="{00000000-0004-0000-0B00-000014000000}"/>
    <hyperlink ref="J26" r:id="rId22" xr:uid="{00000000-0004-0000-0B00-000015000000}"/>
    <hyperlink ref="J27" r:id="rId23" xr:uid="{00000000-0004-0000-0B00-000016000000}"/>
    <hyperlink ref="J28" r:id="rId24" xr:uid="{00000000-0004-0000-0B00-000017000000}"/>
    <hyperlink ref="J29" r:id="rId25" xr:uid="{00000000-0004-0000-0B00-000018000000}"/>
    <hyperlink ref="J30" r:id="rId26" xr:uid="{00000000-0004-0000-0B00-000019000000}"/>
    <hyperlink ref="J31" r:id="rId27" xr:uid="{00000000-0004-0000-0B00-00001A000000}"/>
    <hyperlink ref="J32" r:id="rId28" xr:uid="{00000000-0004-0000-0B00-00001B000000}"/>
    <hyperlink ref="J33" r:id="rId29" xr:uid="{00000000-0004-0000-0B00-00001C000000}"/>
    <hyperlink ref="J34" r:id="rId30" xr:uid="{00000000-0004-0000-0B00-00001D000000}"/>
    <hyperlink ref="J35" r:id="rId31" xr:uid="{00000000-0004-0000-0B00-00001E000000}"/>
    <hyperlink ref="J36" r:id="rId32" xr:uid="{00000000-0004-0000-0B00-00001F000000}"/>
    <hyperlink ref="J38" r:id="rId33" xr:uid="{00000000-0004-0000-0B00-000020000000}"/>
    <hyperlink ref="J39" r:id="rId34" xr:uid="{00000000-0004-0000-0B00-000021000000}"/>
    <hyperlink ref="J40" r:id="rId35" xr:uid="{00000000-0004-0000-0B00-000022000000}"/>
    <hyperlink ref="J41" r:id="rId36" xr:uid="{00000000-0004-0000-0B00-000023000000}"/>
    <hyperlink ref="J42" r:id="rId37" xr:uid="{00000000-0004-0000-0B00-000024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A9DB"/>
  </sheetPr>
  <dimension ref="A1:C21"/>
  <sheetViews>
    <sheetView showGridLines="0" workbookViewId="0"/>
  </sheetViews>
  <sheetFormatPr defaultRowHeight="14.4" x14ac:dyDescent="0.3"/>
  <cols>
    <col min="1" max="1" width="30" customWidth="1"/>
    <col min="2" max="2" width="26" customWidth="1"/>
    <col min="3" max="3" width="70" customWidth="1"/>
  </cols>
  <sheetData>
    <row r="1" spans="1:3" ht="17.399999999999999" x14ac:dyDescent="0.3">
      <c r="A1" s="1" t="s">
        <v>1073</v>
      </c>
    </row>
    <row r="3" spans="1:3" x14ac:dyDescent="0.3">
      <c r="A3" s="3" t="s">
        <v>1074</v>
      </c>
      <c r="B3" s="3" t="s">
        <v>1075</v>
      </c>
      <c r="C3" s="3" t="s">
        <v>1076</v>
      </c>
    </row>
    <row r="4" spans="1:3" x14ac:dyDescent="0.3">
      <c r="A4" s="4" t="s">
        <v>1077</v>
      </c>
      <c r="B4" s="4" t="s">
        <v>94</v>
      </c>
      <c r="C4" s="4" t="s">
        <v>1078</v>
      </c>
    </row>
    <row r="5" spans="1:3" x14ac:dyDescent="0.3">
      <c r="A5" s="4" t="s">
        <v>1079</v>
      </c>
      <c r="B5" s="4" t="s">
        <v>1080</v>
      </c>
      <c r="C5" s="4" t="s">
        <v>1081</v>
      </c>
    </row>
    <row r="6" spans="1:3" x14ac:dyDescent="0.3">
      <c r="A6" s="4" t="s">
        <v>1082</v>
      </c>
      <c r="B6" s="4" t="s">
        <v>1083</v>
      </c>
      <c r="C6" s="4" t="s">
        <v>1084</v>
      </c>
    </row>
    <row r="7" spans="1:3" x14ac:dyDescent="0.3">
      <c r="A7" s="4" t="s">
        <v>1085</v>
      </c>
      <c r="B7" s="4" t="s">
        <v>1086</v>
      </c>
      <c r="C7" s="4" t="s">
        <v>1087</v>
      </c>
    </row>
    <row r="8" spans="1:3" x14ac:dyDescent="0.3">
      <c r="A8" s="4" t="s">
        <v>1088</v>
      </c>
      <c r="B8" s="4" t="s">
        <v>1089</v>
      </c>
      <c r="C8" s="4" t="s">
        <v>1090</v>
      </c>
    </row>
    <row r="9" spans="1:3" ht="26.4" x14ac:dyDescent="0.3">
      <c r="A9" s="4" t="s">
        <v>1091</v>
      </c>
      <c r="B9" s="4" t="s">
        <v>1092</v>
      </c>
      <c r="C9" s="4" t="s">
        <v>1093</v>
      </c>
    </row>
    <row r="10" spans="1:3" x14ac:dyDescent="0.3">
      <c r="A10" s="4" t="s">
        <v>1094</v>
      </c>
      <c r="B10" s="4" t="s">
        <v>1095</v>
      </c>
      <c r="C10" s="4" t="s">
        <v>1096</v>
      </c>
    </row>
    <row r="11" spans="1:3" x14ac:dyDescent="0.3">
      <c r="A11" s="4" t="s">
        <v>1097</v>
      </c>
      <c r="B11" s="4" t="s">
        <v>139</v>
      </c>
      <c r="C11" s="4" t="s">
        <v>1098</v>
      </c>
    </row>
    <row r="12" spans="1:3" x14ac:dyDescent="0.3">
      <c r="A12" s="4" t="s">
        <v>1099</v>
      </c>
      <c r="B12" s="4" t="s">
        <v>1100</v>
      </c>
      <c r="C12" s="4" t="s">
        <v>1101</v>
      </c>
    </row>
    <row r="13" spans="1:3" x14ac:dyDescent="0.3">
      <c r="A13" s="4" t="s">
        <v>1102</v>
      </c>
      <c r="B13" s="4" t="s">
        <v>1103</v>
      </c>
      <c r="C13" s="4" t="s">
        <v>1104</v>
      </c>
    </row>
    <row r="14" spans="1:3" ht="26.4" x14ac:dyDescent="0.3">
      <c r="A14" s="4" t="s">
        <v>1105</v>
      </c>
      <c r="B14" s="4" t="s">
        <v>1106</v>
      </c>
      <c r="C14" s="4" t="s">
        <v>1107</v>
      </c>
    </row>
    <row r="15" spans="1:3" x14ac:dyDescent="0.3">
      <c r="A15" s="4" t="s">
        <v>1108</v>
      </c>
      <c r="B15" s="4" t="s">
        <v>1109</v>
      </c>
      <c r="C15" s="4" t="s">
        <v>1110</v>
      </c>
    </row>
    <row r="16" spans="1:3" x14ac:dyDescent="0.3">
      <c r="A16" s="4" t="s">
        <v>1111</v>
      </c>
      <c r="B16" s="4" t="s">
        <v>1112</v>
      </c>
      <c r="C16" s="4" t="s">
        <v>1113</v>
      </c>
    </row>
    <row r="17" spans="1:3" x14ac:dyDescent="0.3">
      <c r="A17" s="4" t="s">
        <v>561</v>
      </c>
      <c r="B17" s="4" t="s">
        <v>1114</v>
      </c>
      <c r="C17" s="4" t="s">
        <v>1115</v>
      </c>
    </row>
    <row r="18" spans="1:3" x14ac:dyDescent="0.3">
      <c r="A18" s="4" t="s">
        <v>1116</v>
      </c>
      <c r="B18" s="4" t="s">
        <v>1117</v>
      </c>
      <c r="C18" s="4" t="s">
        <v>1118</v>
      </c>
    </row>
    <row r="19" spans="1:3" x14ac:dyDescent="0.3">
      <c r="A19" s="4" t="s">
        <v>1119</v>
      </c>
      <c r="B19" s="4" t="s">
        <v>1120</v>
      </c>
      <c r="C19" s="4" t="s">
        <v>1121</v>
      </c>
    </row>
    <row r="20" spans="1:3" x14ac:dyDescent="0.3">
      <c r="A20" s="4" t="s">
        <v>1122</v>
      </c>
      <c r="B20" s="4" t="s">
        <v>1123</v>
      </c>
      <c r="C20" s="4" t="s">
        <v>1124</v>
      </c>
    </row>
    <row r="21" spans="1:3" x14ac:dyDescent="0.3">
      <c r="A21" s="4" t="s">
        <v>1125</v>
      </c>
      <c r="B21" s="4" t="s">
        <v>1126</v>
      </c>
      <c r="C21" s="4" t="s">
        <v>1127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00_TongQuan</vt:lpstr>
      <vt:lpstr>01_HieuDe</vt:lpstr>
      <vt:lpstr>02_Schema</vt:lpstr>
      <vt:lpstr>03_DoKho</vt:lpstr>
      <vt:lpstr>04_KienTruc</vt:lpstr>
      <vt:lpstr>05_GiaoDien</vt:lpstr>
      <vt:lpstr>06_DanhGia</vt:lpstr>
      <vt:lpstr>07_KienThuc</vt:lpstr>
      <vt:lpstr>08_KeHoach</vt:lpstr>
      <vt:lpstr>09_PhanCong</vt:lpstr>
      <vt:lpstr>10_RuiRo</vt:lpstr>
      <vt:lpstr>11_NguonTK</vt:lpstr>
      <vt:lpstr>12_ThuatNgu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DUC MINH</cp:lastModifiedBy>
  <cp:lastPrinted>2026-10-03T08:57:44Z</cp:lastPrinted>
  <dcterms:created xsi:type="dcterms:W3CDTF">2026-10-03T08:57:35Z</dcterms:created>
  <dcterms:modified xsi:type="dcterms:W3CDTF">2026-10-03T08:57:45Z</dcterms:modified>
</cp:coreProperties>
</file>